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RC_Users" sheetId="2" state="visible" r:id="rId2"/>
    <sheet name="SRC_VM" sheetId="3" state="visible" r:id="rId3"/>
    <sheet name="SRC_Products" sheetId="4" state="visible" r:id="rId4"/>
    <sheet name="SRC_Sales" sheetId="5" state="visible" r:id="rId5"/>
    <sheet name="SRC_Maint" sheetId="6" state="visible" r:id="rId6"/>
    <sheet name="MAP_Status" sheetId="7" state="visible" r:id="rId7"/>
    <sheet name="MAP_Payment" sheetId="8" state="visible" r:id="rId8"/>
    <sheet name="REF_UserRole" sheetId="9" state="visible" r:id="rId9"/>
    <sheet name="REF_Company" sheetId="10" state="visible" r:id="rId10"/>
    <sheet name="REF_WorkMode" sheetId="11" state="visible" r:id="rId11"/>
    <sheet name="REF_TimeZone" sheetId="12" state="visible" r:id="rId12"/>
    <sheet name="REF_VMStatus" sheetId="13" state="visible" r:id="rId13"/>
    <sheet name="REF_ServicePriority" sheetId="14" state="visible" r:id="rId14"/>
    <sheet name="REF_ProductMatrix" sheetId="15" state="visible" r:id="rId15"/>
    <sheet name="REF_Country" sheetId="16" state="visible" r:id="rId16"/>
    <sheet name="REF_SalePayment" sheetId="17" state="visible" r:id="rId17"/>
    <sheet name="REF_CriticalTemplate" sheetId="18" state="visible" r:id="rId18"/>
    <sheet name="REF_NotificationTemplate" sheetId="19" state="visible" r:id="rId19"/>
    <sheet name="REF_VMModel" sheetId="20" state="visible" r:id="rId20"/>
    <sheet name="REF_UserByName" sheetId="21" state="visible" r:id="rId21"/>
    <sheet name="REF_VMBySerial" sheetId="22" state="visible" r:id="rId22"/>
    <sheet name="REF_ProductByName" sheetId="23" state="visible" r:id="rId23"/>
    <sheet name="USERS_NORM" sheetId="24" state="visible" r:id="rId24"/>
    <sheet name="VM_NORM" sheetId="25" state="visible" r:id="rId25"/>
    <sheet name="PRODUCTS_NORM" sheetId="26" state="visible" r:id="rId26"/>
    <sheet name="VM_PRODUCTS_NORM" sheetId="27" state="visible" r:id="rId27"/>
    <sheet name="SALES_NORM" sheetId="28" state="visible" r:id="rId28"/>
    <sheet name="MAINT_NORM" sheetId="29" state="visible" r:id="rId29"/>
    <sheet name="DB_UserAccount" sheetId="30" state="visible" r:id="rId30"/>
    <sheet name="DB_VendingMachine" sheetId="31" state="visible" r:id="rId31"/>
    <sheet name="DB_Product" sheetId="32" state="visible" r:id="rId32"/>
    <sheet name="DB_VendingMachineProduct" sheetId="33" state="visible" r:id="rId33"/>
    <sheet name="DB_SalePaymentMethod" sheetId="34" state="visible" r:id="rId34"/>
    <sheet name="DB_Sale" sheetId="35" state="visible" r:id="rId35"/>
    <sheet name="DB_Maintenance" sheetId="36" state="visible" r:id="rId36"/>
    <sheet name="MAP_UserExternalId" sheetId="37" state="visible" r:id="rId37"/>
    <sheet name="MAP_VMExternalId" sheetId="38" state="visible" r:id="rId38"/>
    <sheet name="MAP_ProductExternalId" sheetId="39" state="visible" r:id="rId39"/>
    <sheet name="CHECKS" sheetId="40" state="visible" r:id="rId40"/>
  </sheets>
  <definedNames>
    <definedName name="_xlnm._FilterDatabase" localSheetId="1" hidden="1">'SRC_Users'!$A$1:$I$21</definedName>
    <definedName name="_xlnm._FilterDatabase" localSheetId="2" hidden="1">'SRC_VM'!$A$1:$AC$11</definedName>
    <definedName name="_xlnm._FilterDatabase" localSheetId="3" hidden="1">'SRC_Products'!$A$1:$H$50</definedName>
    <definedName name="_xlnm._FilterDatabase" localSheetId="4" hidden="1">'SRC_Sales'!$A$1:$E$101</definedName>
    <definedName name="_xlnm._FilterDatabase" localSheetId="5" hidden="1">'SRC_Maint'!$A$1:$E$101</definedName>
    <definedName name="_xlnm._FilterDatabase" localSheetId="6" hidden="1">'MAP_Status'!$A$1:$B$4</definedName>
    <definedName name="_xlnm._FilterDatabase" localSheetId="7" hidden="1">'MAP_Payment'!$A$1:$B$4</definedName>
    <definedName name="_xlnm._FilterDatabase" localSheetId="8" hidden="1">'REF_UserRole'!$A$1:$B$7</definedName>
    <definedName name="_xlnm._FilterDatabase" localSheetId="9" hidden="1">'REF_Company'!$A$1:$B$4</definedName>
    <definedName name="_xlnm._FilterDatabase" localSheetId="10" hidden="1">'REF_WorkMode'!$A$1:$B$3</definedName>
    <definedName name="_xlnm._FilterDatabase" localSheetId="11" hidden="1">'REF_TimeZone'!$A$1:$B$5</definedName>
    <definedName name="_xlnm._FilterDatabase" localSheetId="12" hidden="1">'REF_VMStatus'!$A$1:$B$4</definedName>
    <definedName name="_xlnm._FilterDatabase" localSheetId="13" hidden="1">'REF_ServicePriority'!$A$1:$B$4</definedName>
    <definedName name="_xlnm._FilterDatabase" localSheetId="14" hidden="1">'REF_ProductMatrix'!$A$1:$B$2</definedName>
    <definedName name="_xlnm._FilterDatabase" localSheetId="15" hidden="1">'REF_Country'!$A$1:$B$2</definedName>
    <definedName name="_xlnm._FilterDatabase" localSheetId="16" hidden="1">'REF_SalePayment'!$A$1:$B$4</definedName>
    <definedName name="_xlnm._FilterDatabase" localSheetId="17" hidden="1">'REF_CriticalTemplate'!$A$1:$B$4</definedName>
    <definedName name="_xlnm._FilterDatabase" localSheetId="18" hidden="1">'REF_NotificationTemplate'!$A$1:$B$4</definedName>
    <definedName name="_xlnm._FilterDatabase" localSheetId="19" hidden="1">'REF_VMModel'!$A$1:$D$7</definedName>
    <definedName name="_xlnm._FilterDatabase" localSheetId="20" hidden="1">'REF_UserByName'!$A$1:$B$1</definedName>
    <definedName name="_xlnm._FilterDatabase" localSheetId="21" hidden="1">'REF_VMBySerial'!$A$1:$B$1</definedName>
    <definedName name="_xlnm._FilterDatabase" localSheetId="22" hidden="1">'REF_ProductByName'!$A$1:$B$1</definedName>
    <definedName name="_xlnm._FilterDatabase" localSheetId="23" hidden="1">'USERS_NORM'!$A$1:$T$21</definedName>
    <definedName name="_xlnm._FilterDatabase" localSheetId="24" hidden="1">'VM_NORM'!$A$1:$AS$11</definedName>
    <definedName name="_xlnm._FilterDatabase" localSheetId="25" hidden="1">'PRODUCTS_NORM'!$A$1:$K$50</definedName>
    <definedName name="_xlnm._FilterDatabase" localSheetId="26" hidden="1">'VM_PRODUCTS_NORM'!$A$1:$I$50</definedName>
    <definedName name="_xlnm._FilterDatabase" localSheetId="27" hidden="1">'SALES_NORM'!$A$1:$M$101</definedName>
    <definedName name="_xlnm._FilterDatabase" localSheetId="28" hidden="1">'MAINT_NORM'!$A$1:$I$101</definedName>
    <definedName name="_xlnm._FilterDatabase" localSheetId="29" hidden="1">'DB_UserAccount'!$A$1:$K$21</definedName>
    <definedName name="_xlnm._FilterDatabase" localSheetId="30" hidden="1">'DB_VendingMachine'!$A$1:$AH$11</definedName>
    <definedName name="_xlnm._FilterDatabase" localSheetId="31" hidden="1">'DB_Product'!$A$1:$C$50</definedName>
    <definedName name="_xlnm._FilterDatabase" localSheetId="32" hidden="1">'DB_VendingMachineProduct'!$A$1:$E$50</definedName>
    <definedName name="_xlnm._FilterDatabase" localSheetId="33" hidden="1">'DB_SalePaymentMethod'!$A$1:$A$4</definedName>
    <definedName name="_xlnm._FilterDatabase" localSheetId="34" hidden="1">'DB_Sale'!$A$1:$F$101</definedName>
    <definedName name="_xlnm._FilterDatabase" localSheetId="35" hidden="1">'DB_Maintenance'!$A$1:$E$101</definedName>
    <definedName name="_xlnm._FilterDatabase" localSheetId="36" hidden="1">'MAP_UserExternalId'!$A$1:$B$21</definedName>
    <definedName name="_xlnm._FilterDatabase" localSheetId="37" hidden="1">'MAP_VMExternalId'!$A$1:$C$11</definedName>
    <definedName name="_xlnm._FilterDatabase" localSheetId="38" hidden="1">'MAP_ProductExternalId'!$A$1:$C$50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hh:mm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Файл подготовки импорта (с формулами)</t>
        </is>
      </c>
    </row>
    <row r="2">
      <c r="A2" t="inlineStr">
        <is>
          <t>1) Вставьте ID из БД в листы REF_* (второй столбец).</t>
        </is>
      </c>
    </row>
    <row r="3">
      <c r="A3" t="inlineStr">
        <is>
          <t>2) Проверьте листы *_NORM (формулы уже стоят).</t>
        </is>
      </c>
    </row>
    <row r="4">
      <c r="A4" t="inlineStr">
        <is>
          <t>3) Экспортируйте нужные столбцы из *_NORM в SQL INSERT или импортируйте через мастер.</t>
        </is>
      </c>
    </row>
    <row r="5">
      <c r="A5" t="inlineStr">
        <is>
          <t>4) Порядок: USERS_NORM -&gt; VM_NORM -&gt; PRODUCTS_NORM -&gt; VM_PRODUCTS_NORM -&gt; SALES_NORM -&gt; MAINT_NORM.</t>
        </is>
      </c>
    </row>
    <row r="6">
      <c r="A6" t="inlineStr">
        <is>
          <t>5) REF_UserByName / REF_VMBySerial / REF_ProductByName заполните после загрузки предыдущих этапов.</t>
        </is>
      </c>
    </row>
    <row r="8">
      <c r="A8" t="inlineStr">
        <is>
          <t>Новые листы строго под таблицы БД: DB_UserAccount, DB_VendingMachine, DB_Product, DB_VendingMachineProduct, DB_SalePaymentMethod, DB_Sale, DB_Maintenance.</t>
        </is>
      </c>
    </row>
    <row r="9">
      <c r="A9" t="inlineStr">
        <is>
          <t>Сначала заполните ID в REF_*.</t>
        </is>
      </c>
    </row>
    <row r="10">
      <c r="A10" t="inlineStr">
        <is>
          <t>Затем после загрузки пользователей/ТА/продуктов заполните REF_UserByName / REF_VMBySerial / REF_ProductByName.</t>
        </is>
      </c>
    </row>
    <row r="11">
      <c r="A11" t="inlineStr">
        <is>
          <t>После этого листы DB_Sale и DB_Maintenance полностью рассчитаются.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0" customWidth="1" min="3" max="3"/>
    <col width="31" customWidth="1" min="4" max="4"/>
    <col width="12" customWidth="1" min="5" max="5"/>
    <col width="12" customWidth="1" min="6" max="6"/>
    <col width="13" customWidth="1" min="7" max="7"/>
    <col width="13" customWidth="1" min="8" max="8"/>
    <col width="48" customWidth="1" min="9" max="9"/>
  </cols>
  <sheetData>
    <row r="1">
      <c r="A1" s="2" t="inlineStr">
        <is>
          <t>external_id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full_name</t>
        </is>
      </c>
      <c r="E1" s="2" t="inlineStr">
        <is>
          <t>role</t>
        </is>
      </c>
      <c r="F1" s="2" t="inlineStr">
        <is>
          <t>is_manager</t>
        </is>
      </c>
      <c r="G1" s="2" t="inlineStr">
        <is>
          <t>is_engineer</t>
        </is>
      </c>
      <c r="H1" s="2" t="inlineStr">
        <is>
          <t>is_operator</t>
        </is>
      </c>
      <c r="I1" s="2" t="inlineStr">
        <is>
          <t>image</t>
        </is>
      </c>
    </row>
    <row r="2">
      <c r="A2" t="inlineStr">
        <is>
          <t>01f0b7d3-9b64-49d0-b63e-9190d736d091</t>
        </is>
      </c>
      <c r="B2" t="inlineStr">
        <is>
          <t>leonid_53@example.com</t>
        </is>
      </c>
      <c r="C2" t="inlineStr">
        <is>
          <t>8 (090) 299-0930</t>
        </is>
      </c>
      <c r="D2" t="inlineStr">
        <is>
          <t>Тимофеева Наталья Николаевна</t>
        </is>
      </c>
      <c r="E2" t="inlineStr">
        <is>
          <t>Персонал</t>
        </is>
      </c>
      <c r="F2" t="b">
        <v>0</v>
      </c>
      <c r="G2" t="b">
        <v>1</v>
      </c>
      <c r="H2" t="b">
        <v>0</v>
      </c>
      <c r="I2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3">
      <c r="A3" t="inlineStr">
        <is>
          <t>108519e5-d8b4-419a-ac60-4bedecc9e204</t>
        </is>
      </c>
      <c r="B3" t="inlineStr">
        <is>
          <t>gleb_1990@example.com</t>
        </is>
      </c>
      <c r="C3" t="inlineStr">
        <is>
          <t>+77443080370</t>
        </is>
      </c>
      <c r="D3" t="inlineStr">
        <is>
          <t>Исаков Варлаам Викентьевич</t>
        </is>
      </c>
      <c r="E3" t="inlineStr">
        <is>
          <t>Франчайзи</t>
        </is>
      </c>
      <c r="F3" t="b">
        <v>0</v>
      </c>
      <c r="G3" t="b">
        <v>0</v>
      </c>
      <c r="H3" t="b">
        <v>0</v>
      </c>
      <c r="I3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4">
      <c r="A4" t="inlineStr">
        <is>
          <t>20b7e4c6-0cba-4eb4-afa9-4d3a6a8d34c6</t>
        </is>
      </c>
      <c r="B4" t="inlineStr">
        <is>
          <t>ladislav1994@example.com</t>
        </is>
      </c>
      <c r="C4" t="inlineStr">
        <is>
          <t>8 (524) 644-9886</t>
        </is>
      </c>
      <c r="D4" t="inlineStr">
        <is>
          <t>Родионов Герман Трофимович</t>
        </is>
      </c>
      <c r="E4" t="inlineStr">
        <is>
          <t>Франчайзи</t>
        </is>
      </c>
      <c r="F4" t="b">
        <v>0</v>
      </c>
      <c r="G4" t="b">
        <v>0</v>
      </c>
      <c r="H4" t="b">
        <v>0</v>
      </c>
      <c r="I4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5">
      <c r="A5" t="inlineStr">
        <is>
          <t>35886293-c787-4cde-b7fa-83fafc3f85b3</t>
        </is>
      </c>
      <c r="B5" t="inlineStr">
        <is>
          <t>bvorobeva@example.com</t>
        </is>
      </c>
      <c r="C5" t="inlineStr">
        <is>
          <t>8 (137) 651-90-60</t>
        </is>
      </c>
      <c r="D5" t="inlineStr">
        <is>
          <t>Евдокимова Ольга Архиповна</t>
        </is>
      </c>
      <c r="E5" t="inlineStr">
        <is>
          <t>Франчайзи</t>
        </is>
      </c>
      <c r="F5" t="b">
        <v>0</v>
      </c>
      <c r="G5" t="b">
        <v>0</v>
      </c>
      <c r="H5" t="b">
        <v>0</v>
      </c>
      <c r="I5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6">
      <c r="A6" t="inlineStr">
        <is>
          <t>379cd69b-c8c0-453c-b81b-a0dcf6e4c87c</t>
        </is>
      </c>
      <c r="B6" t="inlineStr">
        <is>
          <t>kir1994@example.org</t>
        </is>
      </c>
      <c r="C6" t="inlineStr">
        <is>
          <t>8 451 035 57 18</t>
        </is>
      </c>
      <c r="D6" t="inlineStr">
        <is>
          <t>Медведев Софрон Ерофеевич</t>
        </is>
      </c>
      <c r="E6" t="inlineStr">
        <is>
          <t>Персонал</t>
        </is>
      </c>
      <c r="F6" t="b">
        <v>0</v>
      </c>
      <c r="G6" t="b">
        <v>0</v>
      </c>
      <c r="H6" t="b">
        <v>0</v>
      </c>
      <c r="I6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7">
      <c r="A7" t="inlineStr">
        <is>
          <t>4c945c54-ac77-4334-bf64-cc5ccc7a6ed2</t>
        </is>
      </c>
      <c r="B7" t="inlineStr">
        <is>
          <t>visheslav82@example.org</t>
        </is>
      </c>
      <c r="C7" t="inlineStr">
        <is>
          <t>8 (306) 825-6208</t>
        </is>
      </c>
      <c r="D7" t="inlineStr">
        <is>
          <t>Жданов Будимир Харламович</t>
        </is>
      </c>
      <c r="E7" t="inlineStr">
        <is>
          <t>Франчайзи</t>
        </is>
      </c>
      <c r="F7" t="b">
        <v>0</v>
      </c>
      <c r="G7" t="b">
        <v>0</v>
      </c>
      <c r="H7" t="b">
        <v>0</v>
      </c>
      <c r="I7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8">
      <c r="A8" t="inlineStr">
        <is>
          <t>6200eaa4-64f2-465f-8873-edcc30105bc7</t>
        </is>
      </c>
      <c r="B8" t="inlineStr">
        <is>
          <t>evgraf13@example.net</t>
        </is>
      </c>
      <c r="C8" t="inlineStr">
        <is>
          <t>8 (276) 045-94-68</t>
        </is>
      </c>
      <c r="D8" t="inlineStr">
        <is>
          <t>Тихонов Аверьян Елисеевич</t>
        </is>
      </c>
      <c r="E8" t="inlineStr">
        <is>
          <t>Франчайзи</t>
        </is>
      </c>
      <c r="F8" t="b">
        <v>0</v>
      </c>
      <c r="G8" t="b">
        <v>0</v>
      </c>
      <c r="H8" t="b">
        <v>0</v>
      </c>
      <c r="I8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9">
      <c r="A9" t="inlineStr">
        <is>
          <t>62c8a8ea-a46a-4995-8794-3f649089315a</t>
        </is>
      </c>
      <c r="B9" t="inlineStr">
        <is>
          <t>burovvsevolod@example.net</t>
        </is>
      </c>
      <c r="C9" t="inlineStr">
        <is>
          <t>+7 140 463 65 52</t>
        </is>
      </c>
      <c r="D9" t="inlineStr">
        <is>
          <t>Белов Ян Фадеевич</t>
        </is>
      </c>
      <c r="E9" t="inlineStr">
        <is>
          <t>Франчайзи</t>
        </is>
      </c>
      <c r="F9" t="b">
        <v>0</v>
      </c>
      <c r="G9" t="b">
        <v>0</v>
      </c>
      <c r="H9" t="b">
        <v>0</v>
      </c>
      <c r="I9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0">
      <c r="A10" t="inlineStr">
        <is>
          <t>6cccfbd6-11c7-4745-be39-6a1dfb3ea453</t>
        </is>
      </c>
      <c r="B10" t="inlineStr">
        <is>
          <t>spartak_44@example.net</t>
        </is>
      </c>
      <c r="C10" t="inlineStr">
        <is>
          <t>+7 783 514 09 48</t>
        </is>
      </c>
      <c r="D10" t="inlineStr">
        <is>
          <t>Рыбаков Ефрем Алексеевич</t>
        </is>
      </c>
      <c r="E10" t="inlineStr">
        <is>
          <t>Франчайзи</t>
        </is>
      </c>
      <c r="F10" t="b">
        <v>0</v>
      </c>
      <c r="G10" t="b">
        <v>0</v>
      </c>
      <c r="H10" t="b">
        <v>0</v>
      </c>
      <c r="I10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1">
      <c r="A11" t="inlineStr">
        <is>
          <t>702076df-6488-46ba-b07c-faf826bea3b5</t>
        </is>
      </c>
      <c r="B11" t="inlineStr">
        <is>
          <t>leonti_1971@example.com</t>
        </is>
      </c>
      <c r="C11" t="inlineStr">
        <is>
          <t>8 (019) 101-95-72</t>
        </is>
      </c>
      <c r="D11" t="inlineStr">
        <is>
          <t>Александров Стоян Алексеевич</t>
        </is>
      </c>
      <c r="E11" t="inlineStr">
        <is>
          <t>Франчайзи</t>
        </is>
      </c>
      <c r="F11" t="b">
        <v>0</v>
      </c>
      <c r="G11" t="b">
        <v>0</v>
      </c>
      <c r="H11" t="b">
        <v>0</v>
      </c>
      <c r="I11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2">
      <c r="A12" t="inlineStr">
        <is>
          <t>7a051229-40bb-443e-80b8-024cb239f52b</t>
        </is>
      </c>
      <c r="B12" t="inlineStr">
        <is>
          <t>epestova@example.net</t>
        </is>
      </c>
      <c r="C12" t="inlineStr">
        <is>
          <t>+73700031752</t>
        </is>
      </c>
      <c r="D12" t="inlineStr">
        <is>
          <t>Новиков Ипполит Власович</t>
        </is>
      </c>
      <c r="E12" t="inlineStr">
        <is>
          <t>Персонал</t>
        </is>
      </c>
      <c r="F12" t="b">
        <v>1</v>
      </c>
      <c r="G12" t="b">
        <v>1</v>
      </c>
      <c r="H12" t="b">
        <v>1</v>
      </c>
      <c r="I12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3">
      <c r="A13" t="inlineStr">
        <is>
          <t>8b3785df-b3fc-43e6-a8f6-221b584960de</t>
        </is>
      </c>
      <c r="B13" t="inlineStr">
        <is>
          <t>noskovnikifor@example.com</t>
        </is>
      </c>
      <c r="C13" t="inlineStr">
        <is>
          <t>+7 (252) 454-63-04</t>
        </is>
      </c>
      <c r="D13" t="inlineStr">
        <is>
          <t>Баранов Ефим Фокич</t>
        </is>
      </c>
      <c r="E13" t="inlineStr">
        <is>
          <t>Франчайзи</t>
        </is>
      </c>
      <c r="F13" t="b">
        <v>0</v>
      </c>
      <c r="G13" t="b">
        <v>0</v>
      </c>
      <c r="H13" t="b">
        <v>0</v>
      </c>
      <c r="I13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4">
      <c r="A14" t="inlineStr">
        <is>
          <t>ae13a1b0-0be5-460e-a362-638f935f1d75</t>
        </is>
      </c>
      <c r="B14" t="inlineStr">
        <is>
          <t>spartak1991@example.org</t>
        </is>
      </c>
      <c r="C14" t="inlineStr">
        <is>
          <t>+7 192 222 6547</t>
        </is>
      </c>
      <c r="D14" t="inlineStr">
        <is>
          <t>Тетерина Надежда Федоровна</t>
        </is>
      </c>
      <c r="E14" t="inlineStr">
        <is>
          <t>Франчайзи</t>
        </is>
      </c>
      <c r="F14" t="b">
        <v>0</v>
      </c>
      <c r="G14" t="b">
        <v>0</v>
      </c>
      <c r="H14" t="b">
        <v>0</v>
      </c>
      <c r="I14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15">
      <c r="A15" t="inlineStr">
        <is>
          <t>af4fbc9f-37ca-45ff-bb94-494c348d876f</t>
        </is>
      </c>
      <c r="B15" t="inlineStr">
        <is>
          <t>eliseevnestor@example.com</t>
        </is>
      </c>
      <c r="C15" t="inlineStr">
        <is>
          <t>+7 (247) 706-26-55</t>
        </is>
      </c>
      <c r="D15" t="inlineStr">
        <is>
          <t>Степанова Марфа Юльевна</t>
        </is>
      </c>
      <c r="E15" t="inlineStr">
        <is>
          <t>Персонал</t>
        </is>
      </c>
      <c r="F15" t="b">
        <v>0</v>
      </c>
      <c r="G15" t="b">
        <v>1</v>
      </c>
      <c r="H15" t="b">
        <v>0</v>
      </c>
      <c r="I15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16">
      <c r="A16" t="inlineStr">
        <is>
          <t>b38b5bfe-a0f9-481e-b2af-3c6bf43297d2</t>
        </is>
      </c>
      <c r="B16" t="inlineStr">
        <is>
          <t>leonid72@example.com</t>
        </is>
      </c>
      <c r="C16" t="inlineStr">
        <is>
          <t>8 (936) 706-43-27</t>
        </is>
      </c>
      <c r="D16" t="inlineStr">
        <is>
          <t>Силин Эрнст Георгиевич</t>
        </is>
      </c>
      <c r="E16" t="inlineStr">
        <is>
          <t>Персонал</t>
        </is>
      </c>
      <c r="F16" t="b">
        <v>0</v>
      </c>
      <c r="G16" t="b">
        <v>1</v>
      </c>
      <c r="H16" t="b">
        <v>0</v>
      </c>
      <c r="I16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7">
      <c r="A17" t="inlineStr">
        <is>
          <t>c59a07db-17d1-4769-9d5c-19c0ab4d435c</t>
        </is>
      </c>
      <c r="B17" t="inlineStr">
        <is>
          <t>glebvolkov@example.net</t>
        </is>
      </c>
      <c r="C17" t="inlineStr">
        <is>
          <t>+7 330 597 33 18</t>
        </is>
      </c>
      <c r="D17" t="inlineStr">
        <is>
          <t>Воробьева Таисия Альбертовна</t>
        </is>
      </c>
      <c r="E17" t="inlineStr">
        <is>
          <t>Персонал</t>
        </is>
      </c>
      <c r="F17" t="b">
        <v>1</v>
      </c>
      <c r="G17" t="b">
        <v>0</v>
      </c>
      <c r="H17" t="b">
        <v>1</v>
      </c>
      <c r="I17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18">
      <c r="A18" t="inlineStr">
        <is>
          <t>d82a5505-35aa-4243-873c-0488e61d62a5</t>
        </is>
      </c>
      <c r="B18" t="inlineStr">
        <is>
          <t>fadeustinov@example.org</t>
        </is>
      </c>
      <c r="C18" t="inlineStr">
        <is>
          <t>+7 180 580 5233</t>
        </is>
      </c>
      <c r="D18" t="inlineStr">
        <is>
          <t>Степанов Юлиан Геннадиевич</t>
        </is>
      </c>
      <c r="E18" t="inlineStr">
        <is>
          <t>Персонал</t>
        </is>
      </c>
      <c r="F18" t="b">
        <v>0</v>
      </c>
      <c r="G18" t="b">
        <v>0</v>
      </c>
      <c r="H18" t="b">
        <v>0</v>
      </c>
      <c r="I18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9">
      <c r="A19" t="inlineStr">
        <is>
          <t>da384682-1b30-466a-8482-2b7a7fc97e71</t>
        </is>
      </c>
      <c r="B19" t="inlineStr">
        <is>
          <t>sevastjandavidov@example.com</t>
        </is>
      </c>
      <c r="C19" t="inlineStr">
        <is>
          <t>+7 744 082 0443</t>
        </is>
      </c>
      <c r="D19" t="inlineStr">
        <is>
          <t>Жуков Милий Григорьевич</t>
        </is>
      </c>
      <c r="E19" t="inlineStr">
        <is>
          <t>Персонал</t>
        </is>
      </c>
      <c r="F19" t="b">
        <v>0</v>
      </c>
      <c r="G19" t="b">
        <v>1</v>
      </c>
      <c r="H19" t="b">
        <v>0</v>
      </c>
      <c r="I19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20">
      <c r="A20" t="inlineStr">
        <is>
          <t>ec90762d-3e3d-413a-b8c5-b86c93ddb52f</t>
        </is>
      </c>
      <c r="B20" t="inlineStr">
        <is>
          <t>vorobevmiroslav@example.net</t>
        </is>
      </c>
      <c r="C20" t="inlineStr">
        <is>
          <t>8 042 327 4787</t>
        </is>
      </c>
      <c r="D20" t="inlineStr">
        <is>
          <t>Никонова Олимпиада Леонидовна</t>
        </is>
      </c>
      <c r="E20" t="inlineStr">
        <is>
          <t>Персонал</t>
        </is>
      </c>
      <c r="F20" t="b">
        <v>0</v>
      </c>
      <c r="G20" t="b">
        <v>0</v>
      </c>
      <c r="H20" t="b">
        <v>1</v>
      </c>
      <c r="I20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21">
      <c r="A21" t="inlineStr">
        <is>
          <t>f9e38a01-137d-454e-93fe-6a736fcb06e5</t>
        </is>
      </c>
      <c r="B21" t="inlineStr">
        <is>
          <t>ivanovgrigori@example.net</t>
        </is>
      </c>
      <c r="C21" t="inlineStr">
        <is>
          <t>8 391 759 25 55</t>
        </is>
      </c>
      <c r="D21" t="inlineStr">
        <is>
          <t>Прохорова Элеонора Егоровна</t>
        </is>
      </c>
      <c r="E21" t="inlineStr">
        <is>
          <t>Франчайзи</t>
        </is>
      </c>
      <c r="F21" t="b">
        <v>0</v>
      </c>
      <c r="G21" t="b">
        <v>0</v>
      </c>
      <c r="H21" t="b">
        <v>0</v>
      </c>
      <c r="I21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2" customWidth="1" min="4" max="4"/>
    <col width="39" customWidth="1" min="5" max="5"/>
    <col width="48" customWidth="1" min="6" max="6"/>
    <col width="13" customWidth="1" min="7" max="7"/>
    <col width="14" customWidth="1" min="8" max="8"/>
    <col width="21" customWidth="1" min="9" max="9"/>
    <col width="15" customWidth="1" min="10" max="10"/>
    <col width="24" customWidth="1" min="11" max="11"/>
    <col width="35" customWidth="1" min="12" max="12"/>
    <col width="29" customWidth="1" min="13" max="13"/>
    <col width="18" customWidth="1" min="14" max="14"/>
    <col width="30" customWidth="1" min="15" max="15"/>
    <col width="15" customWidth="1" min="16" max="16"/>
    <col width="23" customWidth="1" min="17" max="17"/>
    <col width="15" customWidth="1" min="18" max="18"/>
    <col width="26" customWidth="1" min="19" max="19"/>
    <col width="38" customWidth="1" min="20" max="20"/>
    <col width="28" customWidth="1" min="21" max="21"/>
    <col width="14" customWidth="1" min="22" max="22"/>
    <col width="12" customWidth="1" min="23" max="23"/>
    <col width="31" customWidth="1" min="24" max="24"/>
    <col width="28" customWidth="1" min="25" max="25"/>
    <col width="15" customWidth="1" min="26" max="26"/>
    <col width="24" customWidth="1" min="27" max="27"/>
    <col width="14" customWidth="1" min="28" max="28"/>
    <col width="12" customWidth="1" min="29" max="29"/>
  </cols>
  <sheetData>
    <row r="1">
      <c r="A1" s="2" t="inlineStr">
        <is>
          <t>serial_number</t>
        </is>
      </c>
      <c r="B1" s="2" t="inlineStr">
        <is>
          <t>name</t>
        </is>
      </c>
      <c r="C1" s="2" t="inlineStr">
        <is>
          <t>user_id</t>
        </is>
      </c>
      <c r="D1" s="2" t="inlineStr">
        <is>
          <t>rfid_cash_collection</t>
        </is>
      </c>
      <c r="E1" s="2" t="inlineStr">
        <is>
          <t>notes</t>
        </is>
      </c>
      <c r="F1" s="2" t="inlineStr">
        <is>
          <t>location</t>
        </is>
      </c>
      <c r="G1" s="2" t="inlineStr">
        <is>
          <t>work_mode</t>
        </is>
      </c>
      <c r="H1" s="2" t="inlineStr">
        <is>
          <t>rfid_loading</t>
        </is>
      </c>
      <c r="I1" s="2" t="inlineStr">
        <is>
          <t>model</t>
        </is>
      </c>
      <c r="J1" s="2" t="inlineStr">
        <is>
          <t>kit_online_id</t>
        </is>
      </c>
      <c r="K1" s="2" t="inlineStr">
        <is>
          <t>company</t>
        </is>
      </c>
      <c r="L1" s="2" t="inlineStr">
        <is>
          <t>payment_type</t>
        </is>
      </c>
      <c r="M1" s="2" t="inlineStr">
        <is>
          <t>critical_threshold_template</t>
        </is>
      </c>
      <c r="N1" s="2" t="inlineStr">
        <is>
          <t>service_priority</t>
        </is>
      </c>
      <c r="O1" s="2" t="inlineStr">
        <is>
          <t>manager</t>
        </is>
      </c>
      <c r="P1" s="2" t="inlineStr">
        <is>
          <t>status</t>
        </is>
      </c>
      <c r="Q1" s="2" t="inlineStr">
        <is>
          <t>notification_template</t>
        </is>
      </c>
      <c r="R1" s="2" t="inlineStr">
        <is>
          <t>working_hours</t>
        </is>
      </c>
      <c r="S1" s="2" t="inlineStr">
        <is>
          <t>engineer</t>
        </is>
      </c>
      <c r="T1" s="2" t="inlineStr">
        <is>
          <t>id</t>
        </is>
      </c>
      <c r="U1" s="2" t="inlineStr">
        <is>
          <t>install_date</t>
        </is>
      </c>
      <c r="V1" s="2" t="inlineStr">
        <is>
          <t>place</t>
        </is>
      </c>
      <c r="W1" s="2" t="inlineStr">
        <is>
          <t>operator</t>
        </is>
      </c>
      <c r="X1" s="2" t="inlineStr">
        <is>
          <t>technician</t>
        </is>
      </c>
      <c r="Y1" s="2" t="inlineStr">
        <is>
          <t>last_maintenance_date</t>
        </is>
      </c>
      <c r="Z1" s="2" t="inlineStr">
        <is>
          <t>rfid_service</t>
        </is>
      </c>
      <c r="AA1" s="2" t="inlineStr">
        <is>
          <t>coordinates</t>
        </is>
      </c>
      <c r="AB1" s="2" t="inlineStr">
        <is>
          <t>total_income</t>
        </is>
      </c>
      <c r="AC1" s="2" t="inlineStr">
        <is>
          <t>timezone</t>
        </is>
      </c>
    </row>
    <row r="2">
      <c r="A2" t="inlineStr">
        <is>
          <t>87654328</t>
        </is>
      </c>
      <c r="B2" t="inlineStr">
        <is>
          <t>Офис Газпром</t>
        </is>
      </c>
      <c r="C2" t="inlineStr">
        <is>
          <t>702076df-6488-46ba-b07c-faf826bea3b5</t>
        </is>
      </c>
      <c r="D2" t="inlineStr">
        <is>
          <t>RFID-CC-9117</t>
        </is>
      </c>
      <c r="E2" t="inlineStr">
        <is>
          <t>Неисправен купюроприемник</t>
        </is>
      </c>
      <c r="F2" t="inlineStr">
        <is>
          <t>с. Бийск, ш. Астраханское, д. 22 к. 5, 022400</t>
        </is>
      </c>
      <c r="G2" t="inlineStr">
        <is>
          <t>Стандартный</t>
        </is>
      </c>
      <c r="H2" t="inlineStr">
        <is>
          <t>RFID-LD-8466</t>
        </is>
      </c>
      <c r="I2" t="inlineStr">
        <is>
          <t>Rheavendors Luce E5</t>
        </is>
      </c>
      <c r="J2" t="inlineStr">
        <is>
          <t>Kit-766268</t>
        </is>
      </c>
      <c r="K2" t="inlineStr">
        <is>
          <t>ООО Торговые Аппараты</t>
        </is>
      </c>
      <c r="L2" t="inlineStr">
        <is>
          <t xml:space="preserve">Монетоприемник, Купюроприемник  </t>
        </is>
      </c>
      <c r="M2" t="inlineStr">
        <is>
          <t>Расширенный</t>
        </is>
      </c>
      <c r="N2" t="inlineStr">
        <is>
          <t>Средний</t>
        </is>
      </c>
      <c r="O2" t="inlineStr">
        <is>
          <t>Новиков Ипполит Власович</t>
        </is>
      </c>
      <c r="P2" t="inlineStr">
        <is>
          <t>Обслуживается</t>
        </is>
      </c>
      <c r="Q2" t="inlineStr">
        <is>
          <t>Стандартный</t>
        </is>
      </c>
      <c r="R2" t="inlineStr">
        <is>
          <t>9:00 - 18:00</t>
        </is>
      </c>
      <c r="S2" t="inlineStr">
        <is>
          <t>Новиков Ипполит Власович</t>
        </is>
      </c>
      <c r="T2" t="inlineStr">
        <is>
          <t>dc92a945-80cf-4c86-8927-97026c6e82da</t>
        </is>
      </c>
      <c r="U2" t="inlineStr">
        <is>
          <t>2023-06-02 10:10:47.899024</t>
        </is>
      </c>
      <c r="V2" t="inlineStr">
        <is>
          <t>У входа</t>
        </is>
      </c>
      <c r="W2" t="inlineStr">
        <is>
          <t>Билайн</t>
        </is>
      </c>
      <c r="X2" t="inlineStr">
        <is>
          <t>Воробьева Таисия Альбертовна</t>
        </is>
      </c>
      <c r="Y2" t="inlineStr">
        <is>
          <t>2024-06-02 07:57:22.162209</t>
        </is>
      </c>
      <c r="Z2" t="inlineStr">
        <is>
          <t>RFID-SVC-2702</t>
        </is>
      </c>
      <c r="AA2" t="inlineStr">
        <is>
          <t>83.357794, -63.240092</t>
        </is>
      </c>
      <c r="AB2" t="inlineStr">
        <is>
          <t>13389.38</t>
        </is>
      </c>
      <c r="AC2" t="inlineStr">
        <is>
          <t>UTC+5</t>
        </is>
      </c>
    </row>
    <row r="3">
      <c r="A3" t="inlineStr">
        <is>
          <t>98654398</t>
        </is>
      </c>
      <c r="B3" t="inlineStr">
        <is>
          <t>БЦ Арма</t>
        </is>
      </c>
      <c r="C3" t="inlineStr">
        <is>
          <t>f9e38a01-137d-454e-93fe-6a736fcb06e5</t>
        </is>
      </c>
      <c r="D3" t="inlineStr">
        <is>
          <t>RFID-CC-6093</t>
        </is>
      </c>
      <c r="F3" t="inlineStr">
        <is>
          <t>п. Токсово, пр. Мостовой, д. 7 стр. 668, 578638</t>
        </is>
      </c>
      <c r="G3" t="inlineStr">
        <is>
          <t>Тестовый</t>
        </is>
      </c>
      <c r="H3" t="inlineStr">
        <is>
          <t>RFID-LD-4375</t>
        </is>
      </c>
      <c r="I3" t="inlineStr">
        <is>
          <t>Unicum Rosso</t>
        </is>
      </c>
      <c r="J3" t="inlineStr">
        <is>
          <t>Kit-232195</t>
        </is>
      </c>
      <c r="K3" t="inlineStr">
        <is>
          <t>ООО Про Вендинг Групп</t>
        </is>
      </c>
      <c r="L3" t="inlineStr">
        <is>
          <t>Модуль б/н оплаты,QR-платежи</t>
        </is>
      </c>
      <c r="M3" t="inlineStr">
        <is>
          <t>Стандартный</t>
        </is>
      </c>
      <c r="N3" t="inlineStr">
        <is>
          <t>Высокий</t>
        </is>
      </c>
      <c r="O3" t="inlineStr">
        <is>
          <t>Воробьева Таисия Альбертовна</t>
        </is>
      </c>
      <c r="P3" t="inlineStr">
        <is>
          <t>Сломан</t>
        </is>
      </c>
      <c r="Q3" t="inlineStr">
        <is>
          <t>Расширенный</t>
        </is>
      </c>
      <c r="R3" t="inlineStr">
        <is>
          <t>9:00 - 18:00</t>
        </is>
      </c>
      <c r="S3" t="inlineStr">
        <is>
          <t xml:space="preserve">Силин Эрнст Георгиевич </t>
        </is>
      </c>
      <c r="T3" t="inlineStr">
        <is>
          <t>7ed68dd4-ef8b-4124-9084-bc16ee8f10d3</t>
        </is>
      </c>
      <c r="U3" t="inlineStr">
        <is>
          <t>2023-05-31 14:08:18.514130</t>
        </is>
      </c>
      <c r="V3" t="inlineStr">
        <is>
          <t>У входа</t>
        </is>
      </c>
      <c r="W3" t="inlineStr">
        <is>
          <t>МТС</t>
        </is>
      </c>
      <c r="X3" t="inlineStr">
        <is>
          <t>Воробьева Таисия Альбертовна</t>
        </is>
      </c>
      <c r="Y3" t="inlineStr">
        <is>
          <t>2025-03-19 22:52:54.733145</t>
        </is>
      </c>
      <c r="Z3" t="inlineStr">
        <is>
          <t>RFID-SVC-2298</t>
        </is>
      </c>
      <c r="AA3" t="inlineStr">
        <is>
          <t>-25.735753, -67.520209</t>
        </is>
      </c>
      <c r="AB3" t="inlineStr">
        <is>
          <t>19713.49</t>
        </is>
      </c>
      <c r="AC3" t="inlineStr">
        <is>
          <t>UTC+6</t>
        </is>
      </c>
    </row>
    <row r="4">
      <c r="A4" t="inlineStr">
        <is>
          <t>76589076</t>
        </is>
      </c>
      <c r="B4" t="inlineStr">
        <is>
          <t>Вокзал</t>
        </is>
      </c>
      <c r="C4" t="inlineStr">
        <is>
          <t>62c8a8ea-a46a-4995-8794-3f649089315a</t>
        </is>
      </c>
      <c r="D4" t="inlineStr">
        <is>
          <t>RFID-CC-6695</t>
        </is>
      </c>
      <c r="F4" t="inlineStr">
        <is>
          <t>г. Карабулак, наб. Трудовая, д. 4 к. 15, 495584</t>
        </is>
      </c>
      <c r="G4" t="inlineStr">
        <is>
          <t>Тестовый</t>
        </is>
      </c>
      <c r="H4" t="inlineStr">
        <is>
          <t>RFID-LD-9239</t>
        </is>
      </c>
      <c r="I4" t="inlineStr">
        <is>
          <t>Bianchi BVM 972</t>
        </is>
      </c>
      <c r="J4" t="inlineStr">
        <is>
          <t>Kit-634265</t>
        </is>
      </c>
      <c r="K4" t="inlineStr">
        <is>
          <t>ООО ВендингСервис Плюс</t>
        </is>
      </c>
      <c r="L4" t="inlineStr">
        <is>
          <t xml:space="preserve">Монетоприемник, Купюроприемник  </t>
        </is>
      </c>
      <c r="N4" t="inlineStr">
        <is>
          <t>Низкий</t>
        </is>
      </c>
      <c r="O4" t="inlineStr">
        <is>
          <t>Новиков Ипполит Власович</t>
        </is>
      </c>
      <c r="P4" t="inlineStr">
        <is>
          <t>Обслуживается</t>
        </is>
      </c>
      <c r="Q4" t="inlineStr">
        <is>
          <t>Расширенный</t>
        </is>
      </c>
      <c r="R4" t="inlineStr">
        <is>
          <t>9:00 - 18:00</t>
        </is>
      </c>
      <c r="S4" t="inlineStr">
        <is>
          <t xml:space="preserve">Силин Эрнст Георгиевич </t>
        </is>
      </c>
      <c r="T4" t="inlineStr">
        <is>
          <t>0a9a91bf-0fcc-44ac-b3c2-88a33411413a</t>
        </is>
      </c>
      <c r="U4" t="inlineStr">
        <is>
          <t>2024-09-11 00:38:54.947397</t>
        </is>
      </c>
      <c r="V4" t="inlineStr">
        <is>
          <t>Офис</t>
        </is>
      </c>
      <c r="W4" t="inlineStr">
        <is>
          <t>Т2</t>
        </is>
      </c>
      <c r="X4" t="inlineStr">
        <is>
          <t>Воробьева Таисия Альбертовна</t>
        </is>
      </c>
      <c r="Y4" t="inlineStr">
        <is>
          <t>2025-03-30 04:16:07.227057</t>
        </is>
      </c>
      <c r="Z4" t="inlineStr">
        <is>
          <t>RFID-SVC-1443</t>
        </is>
      </c>
      <c r="AA4" t="inlineStr">
        <is>
          <t>75.504369, 33.27249</t>
        </is>
      </c>
      <c r="AB4" t="inlineStr">
        <is>
          <t>20416.26</t>
        </is>
      </c>
      <c r="AC4" t="inlineStr">
        <is>
          <t>UTC+3</t>
        </is>
      </c>
    </row>
    <row r="5">
      <c r="A5" t="inlineStr">
        <is>
          <t>87432986</t>
        </is>
      </c>
      <c r="B5" t="inlineStr">
        <is>
          <t>Фитнес-клуб Атлетика</t>
        </is>
      </c>
      <c r="C5" t="inlineStr">
        <is>
          <t>379cd69b-c8c0-453c-b81b-a0dcf6e4c87c</t>
        </is>
      </c>
      <c r="D5" t="inlineStr">
        <is>
          <t>RFID-CC-6848</t>
        </is>
      </c>
      <c r="E5" t="inlineStr">
        <is>
          <t>Требуется обновление ПО</t>
        </is>
      </c>
      <c r="F5" t="inlineStr">
        <is>
          <t>клх Чебоксары, ул. Чайкиной, д. 63, 919017</t>
        </is>
      </c>
      <c r="G5" t="inlineStr">
        <is>
          <t>Тестовый</t>
        </is>
      </c>
      <c r="H5" t="inlineStr">
        <is>
          <t>RFID-LD-4442</t>
        </is>
      </c>
      <c r="I5" t="inlineStr">
        <is>
          <t>Bianchi BVM 972</t>
        </is>
      </c>
      <c r="J5" t="inlineStr">
        <is>
          <t>Kit-810157</t>
        </is>
      </c>
      <c r="K5" t="inlineStr">
        <is>
          <t>ООО Торговые Аппараты</t>
        </is>
      </c>
      <c r="L5" t="inlineStr">
        <is>
          <t xml:space="preserve">Монетоприемник, Купюроприемник  </t>
        </is>
      </c>
      <c r="M5" t="inlineStr">
        <is>
          <t>Стандартный</t>
        </is>
      </c>
      <c r="N5" t="inlineStr">
        <is>
          <t>Низкий</t>
        </is>
      </c>
      <c r="O5" t="inlineStr">
        <is>
          <t>Новиков Ипполит Власович</t>
        </is>
      </c>
      <c r="P5" t="inlineStr">
        <is>
          <t>Работает</t>
        </is>
      </c>
      <c r="R5" t="inlineStr">
        <is>
          <t>9:00 - 18:00</t>
        </is>
      </c>
      <c r="S5" t="inlineStr">
        <is>
          <t xml:space="preserve">Степанова Марфа Юльевна </t>
        </is>
      </c>
      <c r="T5" t="inlineStr">
        <is>
          <t>89c05e76-6b7e-4d72-b97c-62ecb96b1370</t>
        </is>
      </c>
      <c r="U5" t="inlineStr">
        <is>
          <t>2023-06-11 06:23:41.037615</t>
        </is>
      </c>
      <c r="V5" t="inlineStr">
        <is>
          <t>Офис</t>
        </is>
      </c>
      <c r="W5" t="inlineStr">
        <is>
          <t>Мегафон</t>
        </is>
      </c>
      <c r="X5" t="inlineStr">
        <is>
          <t>Новиков Ипполит Власович</t>
        </is>
      </c>
      <c r="Y5" t="inlineStr">
        <is>
          <t>2025-03-27 00:59:52.554643</t>
        </is>
      </c>
      <c r="Z5" t="inlineStr">
        <is>
          <t>RFID-SVC-6725</t>
        </is>
      </c>
      <c r="AA5" t="inlineStr">
        <is>
          <t>-27.117282, 97.259712</t>
        </is>
      </c>
      <c r="AB5" t="inlineStr">
        <is>
          <t>5639.84</t>
        </is>
      </c>
      <c r="AC5" t="inlineStr">
        <is>
          <t>UTC+5</t>
        </is>
      </c>
    </row>
    <row r="6">
      <c r="A6" t="inlineStr">
        <is>
          <t>87309876</t>
        </is>
      </c>
      <c r="B6" t="inlineStr">
        <is>
          <t>МФЦ</t>
        </is>
      </c>
      <c r="C6" t="inlineStr">
        <is>
          <t>62c8a8ea-a46a-4995-8794-3f649089315a</t>
        </is>
      </c>
      <c r="D6" t="inlineStr">
        <is>
          <t>RFID-CC-2315</t>
        </is>
      </c>
      <c r="F6" t="inlineStr">
        <is>
          <t>д. Верхний Уфалей, наб. Белинского, д. 6 стр. 6, 518880</t>
        </is>
      </c>
      <c r="G6" t="inlineStr">
        <is>
          <t>Стандартный</t>
        </is>
      </c>
      <c r="H6" t="inlineStr">
        <is>
          <t>RFID-LD-8493</t>
        </is>
      </c>
      <c r="I6" t="inlineStr">
        <is>
          <t>Bianchi BVM 972</t>
        </is>
      </c>
      <c r="J6" t="inlineStr">
        <is>
          <t>Kit-986460</t>
        </is>
      </c>
      <c r="K6" t="inlineStr">
        <is>
          <t>ООО Торговые Аппараты</t>
        </is>
      </c>
      <c r="L6" t="inlineStr">
        <is>
          <t>Модуль б/н оплаты,QR-платежи</t>
        </is>
      </c>
      <c r="M6" t="inlineStr">
        <is>
          <t>Стандартный</t>
        </is>
      </c>
      <c r="N6" t="inlineStr">
        <is>
          <t>Средний</t>
        </is>
      </c>
      <c r="O6" t="inlineStr">
        <is>
          <t>Воробьева Таисия Альбертовна</t>
        </is>
      </c>
      <c r="P6" t="inlineStr">
        <is>
          <t>Обслуживается</t>
        </is>
      </c>
      <c r="R6" t="inlineStr">
        <is>
          <t>9:00 - 18:00</t>
        </is>
      </c>
      <c r="S6" t="inlineStr">
        <is>
          <t xml:space="preserve">Силин Эрнст Георгиевич </t>
        </is>
      </c>
      <c r="T6" t="inlineStr">
        <is>
          <t>53e2ec2e-d407-4e9a-a1d9-5a9501e81ede</t>
        </is>
      </c>
      <c r="U6" t="inlineStr">
        <is>
          <t>2024-01-05 05:31:39.375072</t>
        </is>
      </c>
      <c r="V6" t="inlineStr">
        <is>
          <t>Холл</t>
        </is>
      </c>
      <c r="W6" t="inlineStr">
        <is>
          <t>Т2</t>
        </is>
      </c>
      <c r="X6" t="inlineStr">
        <is>
          <t>Никонова Олимпиада Леонидовна</t>
        </is>
      </c>
      <c r="Y6" t="inlineStr">
        <is>
          <t>2024-04-29 18:55:31.593982</t>
        </is>
      </c>
      <c r="Z6" t="inlineStr">
        <is>
          <t>RFID-SVC-4718</t>
        </is>
      </c>
      <c r="AA6" t="inlineStr">
        <is>
          <t>-2.84296, -145.13715</t>
        </is>
      </c>
      <c r="AB6" t="inlineStr">
        <is>
          <t>5729.0</t>
        </is>
      </c>
      <c r="AC6" t="inlineStr">
        <is>
          <t>UTC+4</t>
        </is>
      </c>
    </row>
    <row r="7">
      <c r="A7" t="inlineStr">
        <is>
          <t>54298765</t>
        </is>
      </c>
      <c r="B7" t="inlineStr">
        <is>
          <t>БЦ Центральный</t>
        </is>
      </c>
      <c r="C7" t="inlineStr">
        <is>
          <t>8b3785df-b3fc-43e6-a8f6-221b584960de</t>
        </is>
      </c>
      <c r="D7" t="inlineStr">
        <is>
          <t>RFID-CC-2644</t>
        </is>
      </c>
      <c r="E7" t="inlineStr">
        <is>
          <t>Необходимо пополнить товарную матрицу</t>
        </is>
      </c>
      <c r="F7" t="inlineStr">
        <is>
          <t>г. Аша, пр. Кольцевой, д. 26 стр. 7, 571343</t>
        </is>
      </c>
      <c r="G7" t="inlineStr">
        <is>
          <t>Тестовый</t>
        </is>
      </c>
      <c r="H7" t="inlineStr">
        <is>
          <t>RFID-LD-2429</t>
        </is>
      </c>
      <c r="I7" t="inlineStr">
        <is>
          <t>Unicum Rosso</t>
        </is>
      </c>
      <c r="J7" t="inlineStr">
        <is>
          <t>Kit-824099</t>
        </is>
      </c>
      <c r="K7" t="inlineStr">
        <is>
          <t>ООО ВендингСервис Плюс</t>
        </is>
      </c>
      <c r="L7" t="inlineStr">
        <is>
          <t>Купюроприемник, Модуль б/н оплаты</t>
        </is>
      </c>
      <c r="N7" t="inlineStr">
        <is>
          <t>Высокий</t>
        </is>
      </c>
      <c r="O7" t="inlineStr">
        <is>
          <t>Воробьева Таисия Альбертовна</t>
        </is>
      </c>
      <c r="P7" t="inlineStr">
        <is>
          <t>Сломан</t>
        </is>
      </c>
      <c r="Q7" t="inlineStr">
        <is>
          <t>Стандартный</t>
        </is>
      </c>
      <c r="R7" t="inlineStr">
        <is>
          <t>9:00 - 18:00</t>
        </is>
      </c>
      <c r="S7" t="inlineStr">
        <is>
          <t xml:space="preserve">Степанова Марфа Юльевна </t>
        </is>
      </c>
      <c r="T7" t="inlineStr">
        <is>
          <t>e1d62e6a-5427-4dda-8209-bb584bfbc9e5</t>
        </is>
      </c>
      <c r="U7" t="inlineStr">
        <is>
          <t>2025-02-24 04:43:00.781334</t>
        </is>
      </c>
      <c r="V7" t="inlineStr">
        <is>
          <t>У входа</t>
        </is>
      </c>
      <c r="W7" t="inlineStr">
        <is>
          <t>МТС</t>
        </is>
      </c>
      <c r="X7" t="inlineStr">
        <is>
          <t>Новиков Ипполит Власович</t>
        </is>
      </c>
      <c r="Y7" t="inlineStr">
        <is>
          <t>2024-12-25 10:09:59.818817</t>
        </is>
      </c>
      <c r="Z7" t="inlineStr">
        <is>
          <t>RFID-SVC-8442</t>
        </is>
      </c>
      <c r="AA7" t="inlineStr">
        <is>
          <t>-89.600654, -95.036334</t>
        </is>
      </c>
      <c r="AB7" t="inlineStr">
        <is>
          <t>31753.4</t>
        </is>
      </c>
      <c r="AC7" t="inlineStr">
        <is>
          <t>UTC+5</t>
        </is>
      </c>
    </row>
    <row r="8">
      <c r="A8" t="inlineStr">
        <is>
          <t>76589074</t>
        </is>
      </c>
      <c r="B8" t="inlineStr">
        <is>
          <t>Офис Газпром</t>
        </is>
      </c>
      <c r="C8" t="inlineStr">
        <is>
          <t>20b7e4c6-0cba-4eb4-afa9-4d3a6a8d34c6</t>
        </is>
      </c>
      <c r="D8" t="inlineStr">
        <is>
          <t>RFID-CC-6344</t>
        </is>
      </c>
      <c r="F8" t="inlineStr">
        <is>
          <t>клх Быково (метеост.), пер. Каштановый, д. 1/6 к. 579, 035670</t>
        </is>
      </c>
      <c r="G8" t="inlineStr">
        <is>
          <t>Стандартный</t>
        </is>
      </c>
      <c r="H8" t="inlineStr">
        <is>
          <t>RFID-LD-7762</t>
        </is>
      </c>
      <c r="I8" t="inlineStr">
        <is>
          <t>Necta Kikko ES6</t>
        </is>
      </c>
      <c r="J8" t="inlineStr">
        <is>
          <t>Kit-192398</t>
        </is>
      </c>
      <c r="K8" t="inlineStr">
        <is>
          <t>ООО Торговые Аппараты</t>
        </is>
      </c>
      <c r="L8" t="inlineStr">
        <is>
          <t>Модуль б/н оплаты,QR-платежи</t>
        </is>
      </c>
      <c r="M8" t="inlineStr">
        <is>
          <t>Расширенный</t>
        </is>
      </c>
      <c r="N8" t="inlineStr">
        <is>
          <t>Средний</t>
        </is>
      </c>
      <c r="O8" t="inlineStr">
        <is>
          <t>Воробьева Таисия Альбертовна</t>
        </is>
      </c>
      <c r="P8" t="inlineStr">
        <is>
          <t>Работает</t>
        </is>
      </c>
      <c r="Q8" t="inlineStr">
        <is>
          <t>Стандартный</t>
        </is>
      </c>
      <c r="R8" t="inlineStr">
        <is>
          <t>9:00 - 18:00</t>
        </is>
      </c>
      <c r="S8" t="inlineStr">
        <is>
          <t>Жуков Милий Григорьевич</t>
        </is>
      </c>
      <c r="T8" t="inlineStr">
        <is>
          <t>166c8a3f-a211-4d25-b2d4-a5b0b5f067d5</t>
        </is>
      </c>
      <c r="U8" t="inlineStr">
        <is>
          <t>2023-05-25 03:00:57.583461</t>
        </is>
      </c>
      <c r="V8" t="inlineStr">
        <is>
          <t>Холл</t>
        </is>
      </c>
      <c r="W8" t="inlineStr">
        <is>
          <t>МТС</t>
        </is>
      </c>
      <c r="X8" t="inlineStr">
        <is>
          <t>Новиков Ипполит Власович</t>
        </is>
      </c>
      <c r="Y8" t="inlineStr">
        <is>
          <t>2025-03-07 07:28:28.738398</t>
        </is>
      </c>
      <c r="Z8" t="inlineStr">
        <is>
          <t>RFID-SVC-8423</t>
        </is>
      </c>
      <c r="AA8" t="inlineStr">
        <is>
          <t>-37.748709, -36.631582</t>
        </is>
      </c>
      <c r="AB8" t="inlineStr">
        <is>
          <t>28231.5</t>
        </is>
      </c>
      <c r="AC8" t="inlineStr">
        <is>
          <t>UTC+5</t>
        </is>
      </c>
    </row>
    <row r="9">
      <c r="A9" t="inlineStr">
        <is>
          <t>87654098</t>
        </is>
      </c>
      <c r="B9" t="inlineStr">
        <is>
          <t>Поликлиника №7</t>
        </is>
      </c>
      <c r="C9" t="inlineStr">
        <is>
          <t>4c945c54-ac77-4334-bf64-cc5ccc7a6ed2</t>
        </is>
      </c>
      <c r="D9" t="inlineStr">
        <is>
          <t>RFID-CC-7800</t>
        </is>
      </c>
      <c r="E9" t="inlineStr">
        <is>
          <t>Необходимо пополнить товарную матрицу</t>
        </is>
      </c>
      <c r="F9" t="inlineStr">
        <is>
          <t>клх Курчатов, ш. Школьное, д. 954, 494797</t>
        </is>
      </c>
      <c r="G9" t="inlineStr">
        <is>
          <t>Стандартный</t>
        </is>
      </c>
      <c r="H9" t="inlineStr">
        <is>
          <t>RFID-LD-8282</t>
        </is>
      </c>
      <c r="I9" t="inlineStr">
        <is>
          <t>Rheavendors Luce E5</t>
        </is>
      </c>
      <c r="J9" t="inlineStr">
        <is>
          <t>Kit-751595</t>
        </is>
      </c>
      <c r="K9" t="inlineStr">
        <is>
          <t>ООО Торговые Аппараты</t>
        </is>
      </c>
      <c r="L9" t="inlineStr">
        <is>
          <t>Купюроприемник, Модуль б/н оплаты</t>
        </is>
      </c>
      <c r="M9" t="inlineStr">
        <is>
          <t>Расширенный</t>
        </is>
      </c>
      <c r="N9" t="inlineStr">
        <is>
          <t>Низкий</t>
        </is>
      </c>
      <c r="O9" t="inlineStr">
        <is>
          <t>Новиков Ипполит Власович</t>
        </is>
      </c>
      <c r="P9" t="inlineStr">
        <is>
          <t>Сломан</t>
        </is>
      </c>
      <c r="Q9" t="inlineStr">
        <is>
          <t>Расширенный</t>
        </is>
      </c>
      <c r="R9" t="inlineStr">
        <is>
          <t>9:00 - 18:00</t>
        </is>
      </c>
      <c r="S9" t="inlineStr">
        <is>
          <t>Жуков Милий Григорьевич</t>
        </is>
      </c>
      <c r="T9" t="inlineStr">
        <is>
          <t>4daae871-71ac-44da-8b58-dcf1a2ae907a</t>
        </is>
      </c>
      <c r="U9" t="inlineStr">
        <is>
          <t>2024-06-02 01:25:14.219392</t>
        </is>
      </c>
      <c r="V9" t="inlineStr">
        <is>
          <t>Главный вход</t>
        </is>
      </c>
      <c r="W9" t="inlineStr">
        <is>
          <t>Т2</t>
        </is>
      </c>
      <c r="X9" t="inlineStr">
        <is>
          <t>Воробьева Таисия Альбертовна</t>
        </is>
      </c>
      <c r="Y9" t="inlineStr">
        <is>
          <t>2024-08-01 08:31:16.521280</t>
        </is>
      </c>
      <c r="Z9" t="inlineStr">
        <is>
          <t>RFID-SVC-8550</t>
        </is>
      </c>
      <c r="AA9" t="inlineStr">
        <is>
          <t>56.339718, 79.363367</t>
        </is>
      </c>
      <c r="AB9" t="inlineStr">
        <is>
          <t>8447.97</t>
        </is>
      </c>
      <c r="AC9" t="inlineStr">
        <is>
          <t>UTC+3</t>
        </is>
      </c>
    </row>
    <row r="10">
      <c r="A10" t="inlineStr">
        <is>
          <t>67905436</t>
        </is>
      </c>
      <c r="B10" t="inlineStr">
        <is>
          <t>Аэропорт</t>
        </is>
      </c>
      <c r="C10" t="inlineStr">
        <is>
          <t>108519e5-d8b4-419a-ac60-4bedecc9e204</t>
        </is>
      </c>
      <c r="D10" t="inlineStr">
        <is>
          <t>RFID-CC-6319</t>
        </is>
      </c>
      <c r="E10" t="inlineStr">
        <is>
          <t>Требуется обновление ПО</t>
        </is>
      </c>
      <c r="F10" t="inlineStr">
        <is>
          <t>д. Осташков, ш. Мелиоративное, д. 458 к. 532, 407622</t>
        </is>
      </c>
      <c r="G10" t="inlineStr">
        <is>
          <t>Тестовый</t>
        </is>
      </c>
      <c r="H10" t="inlineStr">
        <is>
          <t>RFID-LD-1061</t>
        </is>
      </c>
      <c r="I10" t="inlineStr">
        <is>
          <t>Necta Kikko Max</t>
        </is>
      </c>
      <c r="J10" t="inlineStr">
        <is>
          <t>Kit-114271</t>
        </is>
      </c>
      <c r="K10" t="inlineStr">
        <is>
          <t>ООО ВендингСервис Плюс</t>
        </is>
      </c>
      <c r="L10" t="inlineStr">
        <is>
          <t>Модуль б/н оплаты,QR-платежи</t>
        </is>
      </c>
      <c r="M10" t="inlineStr">
        <is>
          <t>Стандартный</t>
        </is>
      </c>
      <c r="N10" t="inlineStr">
        <is>
          <t>Низкий</t>
        </is>
      </c>
      <c r="O10" t="inlineStr">
        <is>
          <t>Воробьева Таисия Альбертовна</t>
        </is>
      </c>
      <c r="P10" t="inlineStr">
        <is>
          <t>Обслуживается</t>
        </is>
      </c>
      <c r="Q10" t="inlineStr">
        <is>
          <t>Расширенный</t>
        </is>
      </c>
      <c r="R10" t="inlineStr">
        <is>
          <t>9:00 - 18:00</t>
        </is>
      </c>
      <c r="S10" t="inlineStr">
        <is>
          <t>Новиков Ипполит Власович</t>
        </is>
      </c>
      <c r="T10" t="inlineStr">
        <is>
          <t>a977e322-192c-4567-9f5f-36f504bfc13d</t>
        </is>
      </c>
      <c r="U10" t="inlineStr">
        <is>
          <t>2024-09-25 12:06:39.939963</t>
        </is>
      </c>
      <c r="V10" t="inlineStr">
        <is>
          <t>У входа</t>
        </is>
      </c>
      <c r="W10" t="inlineStr">
        <is>
          <t>Билайн</t>
        </is>
      </c>
      <c r="X10" t="inlineStr">
        <is>
          <t>Новиков Ипполит Власович</t>
        </is>
      </c>
      <c r="Y10" t="inlineStr">
        <is>
          <t>2024-09-12 08:06:44.863674</t>
        </is>
      </c>
      <c r="Z10" t="inlineStr">
        <is>
          <t>RFID-SVC-6096</t>
        </is>
      </c>
      <c r="AA10" t="inlineStr">
        <is>
          <t>89.798638, -17.0026</t>
        </is>
      </c>
      <c r="AB10" t="inlineStr">
        <is>
          <t>20319.68</t>
        </is>
      </c>
      <c r="AC10" t="inlineStr">
        <is>
          <t>UTC+4</t>
        </is>
      </c>
    </row>
    <row r="11">
      <c r="A11" t="inlineStr">
        <is>
          <t>78529127</t>
        </is>
      </c>
      <c r="B11" t="inlineStr">
        <is>
          <t>БЦ Арма</t>
        </is>
      </c>
      <c r="C11" t="inlineStr">
        <is>
          <t>ae13a1b0-0be5-460e-a362-638f935f1d75</t>
        </is>
      </c>
      <c r="D11" t="inlineStr">
        <is>
          <t>RFID-CC-1074</t>
        </is>
      </c>
      <c r="E11" t="inlineStr">
        <is>
          <t>Требуется обновление ПО</t>
        </is>
      </c>
      <c r="F11" t="inlineStr">
        <is>
          <t>к. Гусь-Хрустальный, ш. З.Космодемьянской, д. 136 к. 4, 011188</t>
        </is>
      </c>
      <c r="G11" t="inlineStr">
        <is>
          <t>Тестовый</t>
        </is>
      </c>
      <c r="H11" t="inlineStr">
        <is>
          <t>RFID-LD-5972</t>
        </is>
      </c>
      <c r="I11" t="inlineStr">
        <is>
          <t>Unicum Food Box</t>
        </is>
      </c>
      <c r="J11" t="inlineStr">
        <is>
          <t>Kit-783649</t>
        </is>
      </c>
      <c r="K11" t="inlineStr">
        <is>
          <t>ООО Торговые Аппараты</t>
        </is>
      </c>
      <c r="L11" t="inlineStr">
        <is>
          <t xml:space="preserve">Монетоприемник, Купюроприемник  </t>
        </is>
      </c>
      <c r="M11" t="inlineStr">
        <is>
          <t>Стандартный</t>
        </is>
      </c>
      <c r="N11" t="inlineStr">
        <is>
          <t>Низкий</t>
        </is>
      </c>
      <c r="O11" t="inlineStr">
        <is>
          <t>Воробьева Таисия Альбертовна</t>
        </is>
      </c>
      <c r="P11" t="inlineStr">
        <is>
          <t>Обслуживается</t>
        </is>
      </c>
      <c r="R11" t="inlineStr">
        <is>
          <t>9:00 - 18:00</t>
        </is>
      </c>
      <c r="S11" t="inlineStr">
        <is>
          <t xml:space="preserve">Силин Эрнст Георгиевич </t>
        </is>
      </c>
      <c r="T11" t="inlineStr">
        <is>
          <t>70f22c9f-de0a-41a9-9a53-cabf42688d47</t>
        </is>
      </c>
      <c r="U11" t="inlineStr">
        <is>
          <t>2023-07-26 22:28:35.514621</t>
        </is>
      </c>
      <c r="V11" t="inlineStr">
        <is>
          <t>У входа</t>
        </is>
      </c>
      <c r="W11" t="inlineStr">
        <is>
          <t>МТС</t>
        </is>
      </c>
      <c r="X11" t="inlineStr">
        <is>
          <t>Новиков Ипполит Власович</t>
        </is>
      </c>
      <c r="Y11" t="inlineStr">
        <is>
          <t>2024-08-24 08:02:25.958999</t>
        </is>
      </c>
      <c r="Z11" t="inlineStr">
        <is>
          <t>RFID-SVC-3463</t>
        </is>
      </c>
      <c r="AA11" t="inlineStr">
        <is>
          <t>-72.182146, 28.717243</t>
        </is>
      </c>
      <c r="AB11" t="inlineStr">
        <is>
          <t>22529.01</t>
        </is>
      </c>
      <c r="AC11" t="inlineStr">
        <is>
          <t>UTC+3</t>
        </is>
      </c>
    </row>
  </sheetData>
  <autoFilter ref="A1:A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2" customWidth="1" min="3" max="3"/>
    <col width="12" customWidth="1" min="4" max="4"/>
    <col width="38" customWidth="1" min="5" max="5"/>
    <col width="48" customWidth="1" min="6" max="6"/>
    <col width="20" customWidth="1" min="7" max="7"/>
    <col width="13" customWidth="1" min="8" max="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min_stock</t>
        </is>
      </c>
      <c r="E1" s="2" t="inlineStr">
        <is>
          <t>vending_machine_id</t>
        </is>
      </c>
      <c r="F1" s="2" t="inlineStr">
        <is>
          <t>description</t>
        </is>
      </c>
      <c r="G1" s="2" t="inlineStr">
        <is>
          <t>quantity_available</t>
        </is>
      </c>
      <c r="H1" s="2" t="inlineStr">
        <is>
          <t>sales_trend</t>
        </is>
      </c>
    </row>
    <row r="2">
      <c r="A2" t="inlineStr">
        <is>
          <t>224cdcde-36ee-45da-9ae5-2588df8f96fb</t>
        </is>
      </c>
      <c r="B2" t="inlineStr">
        <is>
          <t>Грушевый латте</t>
        </is>
      </c>
      <c r="C2" t="n">
        <v>68.56999999999999</v>
      </c>
      <c r="D2" t="n">
        <v>20</v>
      </c>
      <c r="E2" t="inlineStr">
        <is>
          <t>dc92a945-80cf-4c86-8927-97026c6e82da</t>
        </is>
      </c>
      <c r="F2" t="inlineStr">
        <is>
          <t>Имеет мягкий вкус с лёгкой фруктовой сладостью.</t>
        </is>
      </c>
      <c r="G2" t="n">
        <v>33</v>
      </c>
      <c r="H2" t="n">
        <v>7.37</v>
      </c>
    </row>
    <row r="3">
      <c r="A3" t="inlineStr">
        <is>
          <t>6392ebd8-2359-40df-a4f8-fb02fc2932d2</t>
        </is>
      </c>
      <c r="B3" t="inlineStr">
        <is>
          <t>Персиковый американо</t>
        </is>
      </c>
      <c r="C3" t="n">
        <v>175.44</v>
      </c>
      <c r="D3" t="n">
        <v>18</v>
      </c>
      <c r="E3" t="inlineStr">
        <is>
          <t>dc92a945-80cf-4c86-8927-97026c6e82da</t>
        </is>
      </c>
      <c r="F3" t="inlineStr">
        <is>
          <t>Имеет фруктовый вкус с нежным ароматом персика.</t>
        </is>
      </c>
      <c r="G3" t="n">
        <v>72</v>
      </c>
      <c r="H3" t="n">
        <v>4.92</v>
      </c>
    </row>
    <row r="4">
      <c r="A4" t="inlineStr">
        <is>
          <t>514fef90-eb36-454f-968c-a02b1dbcf7d8</t>
        </is>
      </c>
      <c r="B4" t="inlineStr">
        <is>
          <t>Облепиховый латте</t>
        </is>
      </c>
      <c r="C4" t="n">
        <v>81.2</v>
      </c>
      <c r="D4" t="n">
        <v>5</v>
      </c>
      <c r="E4" t="inlineStr">
        <is>
          <t>dc92a945-80cf-4c86-8927-97026c6e82da</t>
        </is>
      </c>
      <c r="F4" t="inlineStr">
        <is>
          <t>Имеет кисло-сладкий вкус с ягодным акцентом.</t>
        </is>
      </c>
      <c r="G4" t="n">
        <v>66</v>
      </c>
      <c r="H4" t="n">
        <v>7.2</v>
      </c>
    </row>
    <row r="5">
      <c r="A5" t="inlineStr">
        <is>
          <t>c3737840-6332-4bc6-b5bc-80f92f074f58</t>
        </is>
      </c>
      <c r="B5" t="inlineStr">
        <is>
          <t>Кремовый латте</t>
        </is>
      </c>
      <c r="C5" t="n">
        <v>124.51</v>
      </c>
      <c r="D5" t="n">
        <v>6</v>
      </c>
      <c r="E5" t="inlineStr">
        <is>
          <t>dc92a945-80cf-4c86-8927-97026c6e82da</t>
        </is>
      </c>
      <c r="F5" t="inlineStr">
        <is>
          <t>Имеет мягкий, сливочный вкус.</t>
        </is>
      </c>
      <c r="G5" t="n">
        <v>49</v>
      </c>
      <c r="H5" t="n">
        <v>4.13</v>
      </c>
    </row>
    <row r="6">
      <c r="A6" t="inlineStr">
        <is>
          <t>d27ea808-ee98-4fd0-b867-b5a4a0576c68</t>
        </is>
      </c>
      <c r="B6" t="inlineStr">
        <is>
          <t>Карамельный макиато</t>
        </is>
      </c>
      <c r="C6" t="n">
        <v>162.23</v>
      </c>
      <c r="D6" t="n">
        <v>13</v>
      </c>
      <c r="E6" t="inlineStr">
        <is>
          <t>dc92a945-80cf-4c86-8927-97026c6e82da</t>
        </is>
      </c>
      <c r="F6" t="inlineStr">
        <is>
          <t>Имеет вкус с нотками тёплой карамели.</t>
        </is>
      </c>
      <c r="G6" t="n">
        <v>28</v>
      </c>
      <c r="H6" t="n">
        <v>7.08</v>
      </c>
    </row>
    <row r="7">
      <c r="A7" t="inlineStr">
        <is>
          <t>69b065b6-8e39-44ba-b3a1-f5ca5cf01d57</t>
        </is>
      </c>
      <c r="B7" t="inlineStr">
        <is>
          <t>Крем-брюле латте</t>
        </is>
      </c>
      <c r="C7" t="n">
        <v>63.99</v>
      </c>
      <c r="D7" t="n">
        <v>11</v>
      </c>
      <c r="E7" t="inlineStr">
        <is>
          <t>7ed68dd4-ef8b-4124-9084-bc16ee8f10d3</t>
        </is>
      </c>
      <c r="F7" t="inlineStr">
        <is>
          <t>Имеет сливочно-карамельный вкус десерта.</t>
        </is>
      </c>
      <c r="G7" t="n">
        <v>74</v>
      </c>
      <c r="H7" t="n">
        <v>6.94</v>
      </c>
    </row>
    <row r="8">
      <c r="A8" t="inlineStr">
        <is>
          <t>5144585b-9434-4fc9-89bf-b88784ea791d</t>
        </is>
      </c>
      <c r="B8" t="inlineStr">
        <is>
          <t>Пряный латте</t>
        </is>
      </c>
      <c r="C8" t="n">
        <v>70.09999999999999</v>
      </c>
      <c r="D8" t="n">
        <v>12</v>
      </c>
      <c r="E8" t="inlineStr">
        <is>
          <t>7ed68dd4-ef8b-4124-9084-bc16ee8f10d3</t>
        </is>
      </c>
      <c r="F8" t="inlineStr">
        <is>
          <t>Имеет яркий вкус с добавлением специй.</t>
        </is>
      </c>
      <c r="G8" t="n">
        <v>47</v>
      </c>
      <c r="H8" t="n">
        <v>1.87</v>
      </c>
    </row>
    <row r="9">
      <c r="A9" t="inlineStr">
        <is>
          <t>db33e8df-278c-472c-a45a-c3ddb7374b3a</t>
        </is>
      </c>
      <c r="B9" t="inlineStr">
        <is>
          <t>Тростниковый американо</t>
        </is>
      </c>
      <c r="C9" t="n">
        <v>72.23</v>
      </c>
      <c r="D9" t="n">
        <v>19</v>
      </c>
      <c r="E9" t="inlineStr">
        <is>
          <t>7ed68dd4-ef8b-4124-9084-bc16ee8f10d3</t>
        </is>
      </c>
      <c r="F9" t="inlineStr">
        <is>
          <t>Имеет вкус с сахарной сладостью.</t>
        </is>
      </c>
      <c r="G9" t="n">
        <v>26</v>
      </c>
      <c r="H9" t="n">
        <v>2.42</v>
      </c>
    </row>
    <row r="10">
      <c r="A10" t="inlineStr">
        <is>
          <t>50c6dd4f-70f2-4ec1-a80c-0fc0069f08c2</t>
        </is>
      </c>
      <c r="B10" t="inlineStr">
        <is>
          <t>Двойной эспрессо</t>
        </is>
      </c>
      <c r="C10" t="n">
        <v>192.14</v>
      </c>
      <c r="D10" t="n">
        <v>7</v>
      </c>
      <c r="E10" t="inlineStr">
        <is>
          <t>7ed68dd4-ef8b-4124-9084-bc16ee8f10d3</t>
        </is>
      </c>
      <c r="F10" t="inlineStr">
        <is>
          <t>Имеет крепкий и насыщенный вкус кофе.</t>
        </is>
      </c>
      <c r="G10" t="n">
        <v>48</v>
      </c>
      <c r="H10" t="n">
        <v>3.25</v>
      </c>
    </row>
    <row r="11">
      <c r="A11" t="inlineStr">
        <is>
          <t>8aba3e58-49f7-44f0-9f7b-f8ad1cd570dc</t>
        </is>
      </c>
      <c r="B11" t="inlineStr">
        <is>
          <t>Мятный раф</t>
        </is>
      </c>
      <c r="C11" t="n">
        <v>195.03</v>
      </c>
      <c r="D11" t="n">
        <v>20</v>
      </c>
      <c r="E11" t="inlineStr">
        <is>
          <t>0a9a91bf-0fcc-44ac-b3c2-88a33411413a</t>
        </is>
      </c>
      <c r="F11" t="inlineStr">
        <is>
          <t>Имеет освежающий вкус с мятным ароматом.</t>
        </is>
      </c>
      <c r="G11" t="n">
        <v>47</v>
      </c>
      <c r="H11" t="n">
        <v>1.5</v>
      </c>
    </row>
    <row r="12">
      <c r="A12" t="inlineStr">
        <is>
          <t>8b889b5b-7567-45fa-97c9-09e56237d033</t>
        </is>
      </c>
      <c r="B12" t="inlineStr">
        <is>
          <t>Цитрусовый эспрессо</t>
        </is>
      </c>
      <c r="C12" t="n">
        <v>175.75</v>
      </c>
      <c r="D12" t="n">
        <v>18</v>
      </c>
      <c r="E12" t="inlineStr">
        <is>
          <t>0a9a91bf-0fcc-44ac-b3c2-88a33411413a</t>
        </is>
      </c>
      <c r="F12" t="inlineStr">
        <is>
          <t>Имеет освежающий вкус с цитрусовой кислинкой.</t>
        </is>
      </c>
      <c r="G12" t="n">
        <v>83</v>
      </c>
      <c r="H12" t="n">
        <v>8.94</v>
      </c>
    </row>
    <row r="13">
      <c r="A13" t="inlineStr">
        <is>
          <t>341529cf-dffb-4813-9c77-76f39f4445c7</t>
        </is>
      </c>
      <c r="B13" t="inlineStr">
        <is>
          <t>Бодрящий эспрессо</t>
        </is>
      </c>
      <c r="C13" t="n">
        <v>181.49</v>
      </c>
      <c r="D13" t="n">
        <v>18</v>
      </c>
      <c r="E13" t="inlineStr">
        <is>
          <t>0a9a91bf-0fcc-44ac-b3c2-88a33411413a</t>
        </is>
      </c>
      <c r="F13" t="inlineStr">
        <is>
          <t>Имеет яркий и насыщенный вкус для энергии.</t>
        </is>
      </c>
      <c r="G13" t="n">
        <v>93</v>
      </c>
      <c r="H13" t="n">
        <v>1.13</v>
      </c>
    </row>
    <row r="14">
      <c r="A14" t="inlineStr">
        <is>
          <t>64ad7e60-59c1-4a36-9e09-4f0038143720</t>
        </is>
      </c>
      <c r="B14" t="inlineStr">
        <is>
          <t>Эспрессо с лаймом</t>
        </is>
      </c>
      <c r="C14" t="n">
        <v>166.78</v>
      </c>
      <c r="D14" t="n">
        <v>6</v>
      </c>
      <c r="E14" t="inlineStr">
        <is>
          <t>0a9a91bf-0fcc-44ac-b3c2-88a33411413a</t>
        </is>
      </c>
      <c r="F14" t="inlineStr">
        <is>
          <t>Имеет кисло-свежий вкус с лаймовыми нотками.</t>
        </is>
      </c>
      <c r="G14" t="n">
        <v>76</v>
      </c>
      <c r="H14" t="n">
        <v>7.81</v>
      </c>
    </row>
    <row r="15">
      <c r="A15" t="inlineStr">
        <is>
          <t>e9aa2886-0ba0-4b7a-96dc-078855f99872</t>
        </is>
      </c>
      <c r="B15" t="inlineStr">
        <is>
          <t>Медовый раф</t>
        </is>
      </c>
      <c r="C15" t="n">
        <v>139.55</v>
      </c>
      <c r="D15" t="n">
        <v>17</v>
      </c>
      <c r="E15" t="inlineStr">
        <is>
          <t>89c05e76-6b7e-4d72-b97c-62ecb96b1370</t>
        </is>
      </c>
      <c r="F15" t="inlineStr">
        <is>
          <t>Имеет натуральный вкус с мёдовой сладостью.</t>
        </is>
      </c>
      <c r="G15" t="n">
        <v>79</v>
      </c>
      <c r="H15" t="n">
        <v>8.869999999999999</v>
      </c>
    </row>
    <row r="16">
      <c r="A16" t="inlineStr">
        <is>
          <t>2d79e75e-c6b8-4138-8c0c-403325bf6944</t>
        </is>
      </c>
      <c r="B16" t="inlineStr">
        <is>
          <t>Молочный капучино</t>
        </is>
      </c>
      <c r="C16" t="n">
        <v>93.59</v>
      </c>
      <c r="D16" t="n">
        <v>14</v>
      </c>
      <c r="E16" t="inlineStr">
        <is>
          <t>89c05e76-6b7e-4d72-b97c-62ecb96b1370</t>
        </is>
      </c>
      <c r="F16" t="inlineStr">
        <is>
          <t>Имеет мягкий и сливочный вкус.</t>
        </is>
      </c>
      <c r="G16" t="n">
        <v>11</v>
      </c>
      <c r="H16" t="n">
        <v>1.89</v>
      </c>
    </row>
    <row r="17">
      <c r="A17" t="inlineStr">
        <is>
          <t>8a12f87f-7b45-4a03-bc7a-69e5fbccbc5a</t>
        </is>
      </c>
      <c r="B17" t="inlineStr">
        <is>
          <t>Терпкий капучино</t>
        </is>
      </c>
      <c r="C17" t="n">
        <v>81.73999999999999</v>
      </c>
      <c r="D17" t="n">
        <v>15</v>
      </c>
      <c r="E17" t="inlineStr">
        <is>
          <t>89c05e76-6b7e-4d72-b97c-62ecb96b1370</t>
        </is>
      </c>
      <c r="F17" t="inlineStr">
        <is>
          <t>Имеет насыщенный вкус с яркой кислинкой.</t>
        </is>
      </c>
      <c r="G17" t="n">
        <v>72</v>
      </c>
      <c r="H17" t="n">
        <v>3.6</v>
      </c>
    </row>
    <row r="18">
      <c r="A18" t="inlineStr">
        <is>
          <t>afeeb9f2-2b7c-45c9-a063-b4a0d44dbb48</t>
        </is>
      </c>
      <c r="B18" t="inlineStr">
        <is>
          <t>Кофе с маршмеллоу</t>
        </is>
      </c>
      <c r="C18" t="n">
        <v>157.89</v>
      </c>
      <c r="D18" t="n">
        <v>5</v>
      </c>
      <c r="E18" t="inlineStr">
        <is>
          <t>89c05e76-6b7e-4d72-b97c-62ecb96b1370</t>
        </is>
      </c>
      <c r="F18" t="inlineStr">
        <is>
          <t>Имеет сладкий вкус с нотками ванили и маршмеллоу.</t>
        </is>
      </c>
      <c r="G18" t="n">
        <v>43</v>
      </c>
      <c r="H18" t="n">
        <v>2.93</v>
      </c>
    </row>
    <row r="19">
      <c r="A19" t="inlineStr">
        <is>
          <t>e4cb82db-3355-4fef-b410-fab99949cb04</t>
        </is>
      </c>
      <c r="B19" t="inlineStr">
        <is>
          <t>Черничный латте</t>
        </is>
      </c>
      <c r="C19" t="n">
        <v>37.4</v>
      </c>
      <c r="D19" t="n">
        <v>5</v>
      </c>
      <c r="E19" t="inlineStr">
        <is>
          <t>89c05e76-6b7e-4d72-b97c-62ecb96b1370</t>
        </is>
      </c>
      <c r="F19" t="inlineStr">
        <is>
          <t>Имеет ягодно-фруктовый вкус с черничной кислинкой.</t>
        </is>
      </c>
      <c r="G19" t="n">
        <v>88</v>
      </c>
      <c r="H19" t="n">
        <v>8.390000000000001</v>
      </c>
    </row>
    <row r="20">
      <c r="A20" t="inlineStr">
        <is>
          <t>5f1e4f5c-553b-4053-a26e-ed899ccfa7e0</t>
        </is>
      </c>
      <c r="B20" t="inlineStr">
        <is>
          <t>Кофе с коньяком</t>
        </is>
      </c>
      <c r="C20" t="n">
        <v>89.18000000000001</v>
      </c>
      <c r="D20" t="n">
        <v>9</v>
      </c>
      <c r="E20" t="inlineStr">
        <is>
          <t>53e2ec2e-d407-4e9a-a1d9-5a9501e81ede</t>
        </is>
      </c>
      <c r="F20" t="inlineStr">
        <is>
          <t>Имеет глубокий вкус с алкогольной нотой.</t>
        </is>
      </c>
      <c r="G20" t="n">
        <v>48</v>
      </c>
      <c r="H20" t="n">
        <v>5.52</v>
      </c>
    </row>
    <row r="21">
      <c r="A21" t="inlineStr">
        <is>
          <t>1dd986b1-4f40-4db2-9dfe-5c1565cfd754</t>
        </is>
      </c>
      <c r="B21" t="inlineStr">
        <is>
          <t>Ореховый американо</t>
        </is>
      </c>
      <c r="C21" t="n">
        <v>143.78</v>
      </c>
      <c r="D21" t="n">
        <v>13</v>
      </c>
      <c r="E21" t="inlineStr">
        <is>
          <t>53e2ec2e-d407-4e9a-a1d9-5a9501e81ede</t>
        </is>
      </c>
      <c r="F21" t="inlineStr">
        <is>
          <t>Имеет мягкий кофейный вкус с ореховым послевкусием.</t>
        </is>
      </c>
      <c r="G21" t="n">
        <v>89</v>
      </c>
      <c r="H21" t="n">
        <v>8.9</v>
      </c>
    </row>
    <row r="22">
      <c r="A22" t="inlineStr">
        <is>
          <t>396555b4-40d3-4917-9af1-2f43ba499d89</t>
        </is>
      </c>
      <c r="B22" t="inlineStr">
        <is>
          <t>Кофе с розмарином</t>
        </is>
      </c>
      <c r="C22" t="n">
        <v>32.43</v>
      </c>
      <c r="D22" t="n">
        <v>14</v>
      </c>
      <c r="E22" t="inlineStr">
        <is>
          <t>53e2ec2e-d407-4e9a-a1d9-5a9501e81ede</t>
        </is>
      </c>
      <c r="F22" t="inlineStr">
        <is>
          <t>Имеет пряный вкус с лёгкой горчинкой розмарина.</t>
        </is>
      </c>
      <c r="G22" t="n">
        <v>39</v>
      </c>
      <c r="H22" t="n">
        <v>4.94</v>
      </c>
    </row>
    <row r="23">
      <c r="A23" t="inlineStr">
        <is>
          <t>bb2999ed-c6ae-4172-9343-60b1d1b7bd1f</t>
        </is>
      </c>
      <c r="B23" t="inlineStr">
        <is>
          <t>Тыквенный спайс латте</t>
        </is>
      </c>
      <c r="C23" t="n">
        <v>155.87</v>
      </c>
      <c r="D23" t="n">
        <v>17</v>
      </c>
      <c r="E23" t="inlineStr">
        <is>
          <t>53e2ec2e-d407-4e9a-a1d9-5a9501e81ede</t>
        </is>
      </c>
      <c r="F23" t="inlineStr">
        <is>
          <t>Имеет вкус с ароматом тыквы и специй.</t>
        </is>
      </c>
      <c r="G23" t="n">
        <v>14</v>
      </c>
      <c r="H23" t="n">
        <v>3.25</v>
      </c>
    </row>
    <row r="24">
      <c r="A24" t="inlineStr">
        <is>
          <t>eda4394b-d645-4d19-9117-ffb79eeb3669</t>
        </is>
      </c>
      <c r="B24" t="inlineStr">
        <is>
          <t>Классический эспрессо</t>
        </is>
      </c>
      <c r="C24" t="n">
        <v>111.73</v>
      </c>
      <c r="D24" t="n">
        <v>5</v>
      </c>
      <c r="E24" t="inlineStr">
        <is>
          <t>53e2ec2e-d407-4e9a-a1d9-5a9501e81ede</t>
        </is>
      </c>
      <c r="F24" t="inlineStr">
        <is>
          <t>Имеет традиционный сбалансированный вкус кофе.</t>
        </is>
      </c>
      <c r="G24" t="n">
        <v>81</v>
      </c>
      <c r="H24" t="n">
        <v>2.07</v>
      </c>
    </row>
    <row r="25">
      <c r="A25" t="inlineStr">
        <is>
          <t>1570c922-d706-46a4-bc41-329483be4822</t>
        </is>
      </c>
      <c r="B25" t="inlineStr">
        <is>
          <t>Кленовый флет уайт</t>
        </is>
      </c>
      <c r="C25" t="n">
        <v>170.08</v>
      </c>
      <c r="D25" t="n">
        <v>7</v>
      </c>
      <c r="E25" t="inlineStr">
        <is>
          <t>e1d62e6a-5427-4dda-8209-bb584bfbc9e5</t>
        </is>
      </c>
      <c r="F25" t="inlineStr">
        <is>
          <t>Имеет сладкий вкус с ароматом кленового сиропа.</t>
        </is>
      </c>
      <c r="G25" t="n">
        <v>96</v>
      </c>
      <c r="H25" t="n">
        <v>5.16</v>
      </c>
    </row>
    <row r="26">
      <c r="A26" t="inlineStr">
        <is>
          <t>2efef2da-8a8c-4d2f-bfea-0816d6b67303</t>
        </is>
      </c>
      <c r="B26" t="inlineStr">
        <is>
          <t>Фундуковый мокко</t>
        </is>
      </c>
      <c r="C26" t="n">
        <v>199.83</v>
      </c>
      <c r="D26" t="n">
        <v>9</v>
      </c>
      <c r="E26" t="inlineStr">
        <is>
          <t>e1d62e6a-5427-4dda-8209-bb584bfbc9e5</t>
        </is>
      </c>
      <c r="F26" t="inlineStr">
        <is>
          <t>Имеет вкус с ароматом жареного фундука.</t>
        </is>
      </c>
      <c r="G26" t="n">
        <v>92</v>
      </c>
      <c r="H26" t="n">
        <v>8.029999999999999</v>
      </c>
    </row>
    <row r="27">
      <c r="A27" t="inlineStr">
        <is>
          <t>5da14b84-a68f-488d-9e1e-e1ca615fb0d8</t>
        </is>
      </c>
      <c r="B27" t="inlineStr">
        <is>
          <t>Кофе с карамелью</t>
        </is>
      </c>
      <c r="C27" t="n">
        <v>172.86</v>
      </c>
      <c r="D27" t="n">
        <v>13</v>
      </c>
      <c r="E27" t="inlineStr">
        <is>
          <t>e1d62e6a-5427-4dda-8209-bb584bfbc9e5</t>
        </is>
      </c>
      <c r="F27" t="inlineStr">
        <is>
          <t>Имеет мягкий сладкий вкус карамели.</t>
        </is>
      </c>
      <c r="G27" t="n">
        <v>10</v>
      </c>
      <c r="H27" t="n">
        <v>7.87</v>
      </c>
    </row>
    <row r="28">
      <c r="A28" t="inlineStr">
        <is>
          <t>acdfa29d-f642-4ba7-939a-0c8262ff7c41</t>
        </is>
      </c>
      <c r="B28" t="inlineStr">
        <is>
          <t>Шоколадный капучино</t>
        </is>
      </c>
      <c r="C28" t="n">
        <v>49.53</v>
      </c>
      <c r="D28" t="n">
        <v>14</v>
      </c>
      <c r="E28" t="inlineStr">
        <is>
          <t>e1d62e6a-5427-4dda-8209-bb584bfbc9e5</t>
        </is>
      </c>
      <c r="F28" t="inlineStr">
        <is>
          <t>Имеет глубокий вкус с шоколадным оттенком.</t>
        </is>
      </c>
      <c r="G28" t="n">
        <v>87</v>
      </c>
      <c r="H28" t="n">
        <v>5.3</v>
      </c>
    </row>
    <row r="29">
      <c r="A29" t="inlineStr">
        <is>
          <t>65c81bfc-a283-4a14-a8f7-60800963d5b7</t>
        </is>
      </c>
      <c r="B29" t="inlineStr">
        <is>
          <t>Кофе на овсяном молоке</t>
        </is>
      </c>
      <c r="C29" t="n">
        <v>123.66</v>
      </c>
      <c r="D29" t="n">
        <v>12</v>
      </c>
      <c r="E29" t="inlineStr">
        <is>
          <t>e1d62e6a-5427-4dda-8209-bb584bfbc9e5</t>
        </is>
      </c>
      <c r="F29" t="inlineStr">
        <is>
          <t>Имеет вкус с молочной основой и лёгким ореховым оттенком.</t>
        </is>
      </c>
      <c r="G29" t="n">
        <v>79</v>
      </c>
      <c r="H29" t="n">
        <v>7.68</v>
      </c>
    </row>
    <row r="30">
      <c r="A30" t="inlineStr">
        <is>
          <t>a90eaff4-e8bd-400f-a4b9-63cc6e0bcb54</t>
        </is>
      </c>
      <c r="B30" t="inlineStr">
        <is>
          <t>Арахисовый мокко</t>
        </is>
      </c>
      <c r="C30" t="n">
        <v>134.51</v>
      </c>
      <c r="D30" t="n">
        <v>8</v>
      </c>
      <c r="E30" t="inlineStr">
        <is>
          <t>e1d62e6a-5427-4dda-8209-bb584bfbc9e5</t>
        </is>
      </c>
      <c r="F30" t="inlineStr">
        <is>
          <t>Имеет вкус с насыщенными нотками арахиса.</t>
        </is>
      </c>
      <c r="G30" t="n">
        <v>41</v>
      </c>
      <c r="H30" t="n">
        <v>8.449999999999999</v>
      </c>
    </row>
    <row r="31">
      <c r="A31" t="inlineStr">
        <is>
          <t>075ac323-7649-44e8-bbff-60cbda965c47</t>
        </is>
      </c>
      <c r="B31" t="inlineStr">
        <is>
          <t>Фисташковый мокко</t>
        </is>
      </c>
      <c r="C31" t="n">
        <v>133.4</v>
      </c>
      <c r="D31" t="n">
        <v>18</v>
      </c>
      <c r="E31" t="inlineStr">
        <is>
          <t>166c8a3f-a211-4d25-b2d4-a5b0b5f067d5</t>
        </is>
      </c>
      <c r="F31" t="inlineStr">
        <is>
          <t>Имеет ореховый оттенок с нежной фисташковой ноткой.</t>
        </is>
      </c>
      <c r="G31" t="n">
        <v>81</v>
      </c>
      <c r="H31" t="n">
        <v>5.55</v>
      </c>
    </row>
    <row r="32">
      <c r="A32" t="inlineStr">
        <is>
          <t>e7cf5f27-b23e-484a-8a9f-6dc67503a89a</t>
        </is>
      </c>
      <c r="B32" t="inlineStr">
        <is>
          <t>Лавандовый раф</t>
        </is>
      </c>
      <c r="C32" t="n">
        <v>175.68</v>
      </c>
      <c r="D32" t="n">
        <v>12</v>
      </c>
      <c r="E32" t="inlineStr">
        <is>
          <t>166c8a3f-a211-4d25-b2d4-a5b0b5f067d5</t>
        </is>
      </c>
      <c r="F32" t="inlineStr">
        <is>
          <t>Имеет мягкий цветочный аромат с лёгкими нотами лаванды.</t>
        </is>
      </c>
      <c r="G32" t="n">
        <v>58</v>
      </c>
      <c r="H32" t="n">
        <v>7.81</v>
      </c>
    </row>
    <row r="33">
      <c r="A33" t="inlineStr">
        <is>
          <t>f015385b-be00-4ec9-acbf-2fcf38b9d7fd</t>
        </is>
      </c>
      <c r="B33" t="inlineStr">
        <is>
          <t>Французский ванильный латте</t>
        </is>
      </c>
      <c r="C33" t="n">
        <v>154.46</v>
      </c>
      <c r="D33" t="n">
        <v>12</v>
      </c>
      <c r="E33" t="inlineStr">
        <is>
          <t>166c8a3f-a211-4d25-b2d4-a5b0b5f067d5</t>
        </is>
      </c>
      <c r="F33" t="inlineStr">
        <is>
          <t>Имеет нежный вкус с ароматом ванили.</t>
        </is>
      </c>
      <c r="G33" t="n">
        <v>73</v>
      </c>
      <c r="H33" t="n">
        <v>9.279999999999999</v>
      </c>
    </row>
    <row r="34">
      <c r="A34" t="inlineStr">
        <is>
          <t>3dd6269e-af5b-451b-bd3b-552b73c1751d</t>
        </is>
      </c>
      <c r="B34" t="inlineStr">
        <is>
          <t>Мятно-шоколадный макиато</t>
        </is>
      </c>
      <c r="C34" t="n">
        <v>69.03</v>
      </c>
      <c r="D34" t="n">
        <v>5</v>
      </c>
      <c r="E34" t="inlineStr">
        <is>
          <t>166c8a3f-a211-4d25-b2d4-a5b0b5f067d5</t>
        </is>
      </c>
      <c r="F34" t="inlineStr">
        <is>
          <t>Имеет глубокий вкус с шоколадным оттенком.</t>
        </is>
      </c>
      <c r="G34" t="n">
        <v>29</v>
      </c>
      <c r="H34" t="n">
        <v>9.02</v>
      </c>
    </row>
    <row r="35">
      <c r="A35" t="inlineStr">
        <is>
          <t>31995494-84d0-4cc8-8765-df869685e234</t>
        </is>
      </c>
      <c r="B35" t="inlineStr">
        <is>
          <t>Ромовый флет уайт</t>
        </is>
      </c>
      <c r="C35" t="n">
        <v>75.77</v>
      </c>
      <c r="D35" t="n">
        <v>17</v>
      </c>
      <c r="E35" t="inlineStr">
        <is>
          <t>166c8a3f-a211-4d25-b2d4-a5b0b5f067d5</t>
        </is>
      </c>
      <c r="F35" t="inlineStr">
        <is>
          <t>Имеет сладкий вкус с лёгкой алкогольной ноткой рома.</t>
        </is>
      </c>
      <c r="G35" t="n">
        <v>96</v>
      </c>
      <c r="H35" t="n">
        <v>7.98</v>
      </c>
    </row>
    <row r="36">
      <c r="A36" t="inlineStr">
        <is>
          <t>ad2493e7-e1b8-4811-bd6c-5e38edeb0f99</t>
        </is>
      </c>
      <c r="B36" t="inlineStr">
        <is>
          <t>Банановый капучино</t>
        </is>
      </c>
      <c r="C36" t="n">
        <v>190.44</v>
      </c>
      <c r="D36" t="n">
        <v>12</v>
      </c>
      <c r="E36" t="inlineStr">
        <is>
          <t>166c8a3f-a211-4d25-b2d4-a5b0b5f067d5</t>
        </is>
      </c>
      <c r="F36" t="inlineStr">
        <is>
          <t>Имеет сладкий вкус с банановыми нотками.</t>
        </is>
      </c>
      <c r="G36" t="n">
        <v>88</v>
      </c>
      <c r="H36" t="n">
        <v>4.59</v>
      </c>
    </row>
    <row r="37">
      <c r="A37" t="inlineStr">
        <is>
          <t>f3dc17fc-f9fe-4beb-93f4-a27a02adb152</t>
        </is>
      </c>
      <c r="B37" t="inlineStr">
        <is>
          <t>Раф с халвой</t>
        </is>
      </c>
      <c r="C37" t="n">
        <v>121.71</v>
      </c>
      <c r="D37" t="n">
        <v>15</v>
      </c>
      <c r="E37" t="inlineStr">
        <is>
          <t>4daae871-71ac-44da-8b58-dcf1a2ae907a</t>
        </is>
      </c>
      <c r="F37" t="inlineStr">
        <is>
          <t>Имеет вкус с орехово-сладкой ноткой халвы.</t>
        </is>
      </c>
      <c r="G37" t="n">
        <v>69</v>
      </c>
      <c r="H37" t="n">
        <v>5.76</v>
      </c>
    </row>
    <row r="38">
      <c r="A38" t="inlineStr">
        <is>
          <t>fa4180fd-2756-4f01-aaa0-aa051c939b1a</t>
        </is>
      </c>
      <c r="B38" t="inlineStr">
        <is>
          <t>Медово-имбирный макиато</t>
        </is>
      </c>
      <c r="C38" t="n">
        <v>107.5</v>
      </c>
      <c r="D38" t="n">
        <v>17</v>
      </c>
      <c r="E38" t="inlineStr">
        <is>
          <t>4daae871-71ac-44da-8b58-dcf1a2ae907a</t>
        </is>
      </c>
      <c r="F38" t="inlineStr">
        <is>
          <t>Имеет острый, бодрящий вкус с имбирным оттенком.</t>
        </is>
      </c>
      <c r="G38" t="n">
        <v>13</v>
      </c>
      <c r="H38" t="n">
        <v>2.9</v>
      </c>
    </row>
    <row r="39">
      <c r="A39" t="inlineStr">
        <is>
          <t>121d56e4-dc5b-43c3-8658-d1a00f8cbf76</t>
        </is>
      </c>
      <c r="B39" t="inlineStr">
        <is>
          <t>Карамельно-соленый мокко</t>
        </is>
      </c>
      <c r="C39" t="n">
        <v>45.53</v>
      </c>
      <c r="D39" t="n">
        <v>8</v>
      </c>
      <c r="E39" t="inlineStr">
        <is>
          <t>4daae871-71ac-44da-8b58-dcf1a2ae907a</t>
        </is>
      </c>
      <c r="F39" t="inlineStr">
        <is>
          <t>Имеет необычный вкус с оттенком морской соли.</t>
        </is>
      </c>
      <c r="G39" t="n">
        <v>92</v>
      </c>
      <c r="H39" t="n">
        <v>8.15</v>
      </c>
    </row>
    <row r="40">
      <c r="A40" t="inlineStr">
        <is>
          <t>b4f5fdc1-498b-4830-bb04-c3625a94d146</t>
        </is>
      </c>
      <c r="B40" t="inlineStr">
        <is>
          <t>Ванильный флет уайт</t>
        </is>
      </c>
      <c r="C40" t="n">
        <v>179.3</v>
      </c>
      <c r="D40" t="n">
        <v>18</v>
      </c>
      <c r="E40" t="inlineStr">
        <is>
          <t>4daae871-71ac-44da-8b58-dcf1a2ae907a</t>
        </is>
      </c>
      <c r="F40" t="inlineStr">
        <is>
          <t>Имеет нежный вкус с ароматом ванили.</t>
        </is>
      </c>
      <c r="G40" t="n">
        <v>49</v>
      </c>
      <c r="H40" t="n">
        <v>7.56</v>
      </c>
    </row>
    <row r="41">
      <c r="A41" t="inlineStr">
        <is>
          <t>836b11ff-ec22-4433-8f72-11ce31d21bd7</t>
        </is>
      </c>
      <c r="B41" t="inlineStr">
        <is>
          <t>Ирисовый латте</t>
        </is>
      </c>
      <c r="C41" t="n">
        <v>150.16</v>
      </c>
      <c r="D41" t="n">
        <v>17</v>
      </c>
      <c r="E41" t="inlineStr">
        <is>
          <t>a977e322-192c-4567-9f5f-36f504bfc13d</t>
        </is>
      </c>
      <c r="F41" t="inlineStr">
        <is>
          <t>Имеет сладкий вкус с карамельными нотками ириса.</t>
        </is>
      </c>
      <c r="G41" t="n">
        <v>78</v>
      </c>
      <c r="H41" t="n">
        <v>7.23</v>
      </c>
    </row>
    <row r="42">
      <c r="A42" t="inlineStr">
        <is>
          <t>e8c1eb57-f3f2-48ad-b65f-b3cb39617849</t>
        </is>
      </c>
      <c r="B42" t="inlineStr">
        <is>
          <t>Кофе по-венски</t>
        </is>
      </c>
      <c r="C42" t="n">
        <v>181.28</v>
      </c>
      <c r="D42" t="n">
        <v>20</v>
      </c>
      <c r="E42" t="inlineStr">
        <is>
          <t>a977e322-192c-4567-9f5f-36f504bfc13d</t>
        </is>
      </c>
      <c r="F42" t="inlineStr">
        <is>
          <t>Имеет классический вкус с взбитыми сливками.</t>
        </is>
      </c>
      <c r="G42" t="n">
        <v>95</v>
      </c>
      <c r="H42" t="n">
        <v>8.69</v>
      </c>
    </row>
    <row r="43">
      <c r="A43" t="inlineStr">
        <is>
          <t>3f9de4b4-8188-4bd9-8a98-55c4b27af3a9</t>
        </is>
      </c>
      <c r="B43" t="inlineStr">
        <is>
          <t>Кофе с корицей</t>
        </is>
      </c>
      <c r="C43" t="n">
        <v>79.48</v>
      </c>
      <c r="D43" t="n">
        <v>13</v>
      </c>
      <c r="E43" t="inlineStr">
        <is>
          <t>a977e322-192c-4567-9f5f-36f504bfc13d</t>
        </is>
      </c>
      <c r="F43" t="inlineStr">
        <is>
          <t>Ароматный кофейный напиток с уникальным вкусом.</t>
        </is>
      </c>
      <c r="G43" t="n">
        <v>54</v>
      </c>
      <c r="H43" t="n">
        <v>3.37</v>
      </c>
    </row>
    <row r="44">
      <c r="A44" t="inlineStr">
        <is>
          <t>f6ffc6f0-c513-449c-bcc7-66505087e4f6</t>
        </is>
      </c>
      <c r="B44" t="inlineStr">
        <is>
          <t>Кокосовый капучино</t>
        </is>
      </c>
      <c r="C44" t="n">
        <v>32.59</v>
      </c>
      <c r="D44" t="n">
        <v>7</v>
      </c>
      <c r="E44" t="inlineStr">
        <is>
          <t>a977e322-192c-4567-9f5f-36f504bfc13d</t>
        </is>
      </c>
      <c r="F44" t="inlineStr">
        <is>
          <t>Имеет экзотический вкус с кокосовой сладостью.</t>
        </is>
      </c>
      <c r="G44" t="n">
        <v>10</v>
      </c>
      <c r="H44" t="n">
        <v>4.24</v>
      </c>
    </row>
    <row r="45">
      <c r="A45" t="inlineStr">
        <is>
          <t>140d8dfd-14d6-46bd-a8a0-845d54d3df3e</t>
        </is>
      </c>
      <c r="B45" t="inlineStr">
        <is>
          <t>Ягодный мокко</t>
        </is>
      </c>
      <c r="C45" t="n">
        <v>95.79000000000001</v>
      </c>
      <c r="D45" t="n">
        <v>16</v>
      </c>
      <c r="E45" t="inlineStr">
        <is>
          <t>70f22c9f-de0a-41a9-9a53-cabf42688d47</t>
        </is>
      </c>
      <c r="F45" t="inlineStr">
        <is>
          <t>Имеет фруктовый оттенок с кисло-сладким вкусом ягод.</t>
        </is>
      </c>
      <c r="G45" t="n">
        <v>59</v>
      </c>
      <c r="H45" t="n">
        <v>1.94</v>
      </c>
    </row>
    <row r="46">
      <c r="A46" t="inlineStr">
        <is>
          <t>2c90df73-2310-4499-bd86-701ee38b0974</t>
        </is>
      </c>
      <c r="B46" t="inlineStr">
        <is>
          <t>Миндальный латте</t>
        </is>
      </c>
      <c r="C46" t="n">
        <v>49.13</v>
      </c>
      <c r="D46" t="n">
        <v>18</v>
      </c>
      <c r="E46" t="inlineStr">
        <is>
          <t>70f22c9f-de0a-41a9-9a53-cabf42688d47</t>
        </is>
      </c>
      <c r="F46" t="inlineStr">
        <is>
          <t>Имеет вкус с нотками сладкого миндаля.</t>
        </is>
      </c>
      <c r="G46" t="n">
        <v>41</v>
      </c>
      <c r="H46" t="n">
        <v>7.03</v>
      </c>
    </row>
    <row r="47">
      <c r="A47" t="inlineStr">
        <is>
          <t>4b5016ea-81a5-4ba4-97c2-5ff98123bac3</t>
        </is>
      </c>
      <c r="B47" t="inlineStr">
        <is>
          <t>Имбирный кофе</t>
        </is>
      </c>
      <c r="C47" t="n">
        <v>81.68000000000001</v>
      </c>
      <c r="D47" t="n">
        <v>7</v>
      </c>
      <c r="E47" t="inlineStr">
        <is>
          <t>70f22c9f-de0a-41a9-9a53-cabf42688d47</t>
        </is>
      </c>
      <c r="F47" t="inlineStr">
        <is>
          <t>Имеет острый, бодрящий вкус с имбирным оттенком.</t>
        </is>
      </c>
      <c r="G47" t="n">
        <v>26</v>
      </c>
      <c r="H47" t="n">
        <v>7.39</v>
      </c>
    </row>
    <row r="48">
      <c r="A48" t="inlineStr">
        <is>
          <t>069d1026-82b5-4365-8481-1b38fe50307c</t>
        </is>
      </c>
      <c r="B48" t="inlineStr">
        <is>
          <t>Трюфельный макиато</t>
        </is>
      </c>
      <c r="C48" t="n">
        <v>105.2</v>
      </c>
      <c r="D48" t="n">
        <v>7</v>
      </c>
      <c r="E48" t="inlineStr">
        <is>
          <t>70f22c9f-de0a-41a9-9a53-cabf42688d47</t>
        </is>
      </c>
      <c r="F48" t="inlineStr">
        <is>
          <t>Имеет интенсивный вкус с нотками шоколадного трюфеля.</t>
        </is>
      </c>
      <c r="G48" t="n">
        <v>29</v>
      </c>
      <c r="H48" t="n">
        <v>1.14</v>
      </c>
    </row>
    <row r="49">
      <c r="A49" t="inlineStr">
        <is>
          <t>9c11131a-5957-42d6-bbac-a20f9bc18418</t>
        </is>
      </c>
      <c r="B49" t="inlineStr">
        <is>
          <t>Шафрановый раф</t>
        </is>
      </c>
      <c r="C49" t="n">
        <v>131.32</v>
      </c>
      <c r="D49" t="n">
        <v>16</v>
      </c>
      <c r="E49" t="inlineStr">
        <is>
          <t>70f22c9f-de0a-41a9-9a53-cabf42688d47</t>
        </is>
      </c>
      <c r="F49" t="inlineStr">
        <is>
          <t>Имеет изысканный вкус с восточными нотками шафрана.</t>
        </is>
      </c>
      <c r="G49" t="n">
        <v>11</v>
      </c>
      <c r="H49" t="n">
        <v>3.69</v>
      </c>
    </row>
    <row r="50">
      <c r="A50" t="inlineStr">
        <is>
          <t>cca932b0-81f0-45a1-9af7-8fe57aa1873e</t>
        </is>
      </c>
      <c r="B50" t="inlineStr">
        <is>
          <t>Грушевый латте +</t>
        </is>
      </c>
      <c r="C50" t="n">
        <v>161.27</v>
      </c>
      <c r="D50" t="n">
        <v>17</v>
      </c>
      <c r="E50" t="inlineStr">
        <is>
          <t>70f22c9f-de0a-41a9-9a53-cabf42688d47</t>
        </is>
      </c>
      <c r="F50" t="inlineStr">
        <is>
          <t>Имеет мягкий вкус с лёгкой фруктовой сладостью.</t>
        </is>
      </c>
      <c r="G50" t="n">
        <v>72</v>
      </c>
      <c r="H50" t="n">
        <v>9.48</v>
      </c>
    </row>
  </sheetData>
  <autoFilter ref="A1:H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12" customWidth="1" min="4" max="4"/>
    <col width="16" customWidth="1" min="5" max="5"/>
  </cols>
  <sheetData>
    <row r="1">
      <c r="A1" s="2" t="inlineStr">
        <is>
          <t>timestamp</t>
        </is>
      </c>
      <c r="B1" s="2" t="inlineStr">
        <is>
          <t>product_id</t>
        </is>
      </c>
      <c r="C1" s="2" t="inlineStr">
        <is>
          <t>total_price</t>
        </is>
      </c>
      <c r="D1" s="2" t="inlineStr">
        <is>
          <t>quantity</t>
        </is>
      </c>
      <c r="E1" s="2" t="inlineStr">
        <is>
          <t>payment_method</t>
        </is>
      </c>
    </row>
    <row r="2">
      <c r="A2" t="inlineStr">
        <is>
          <t>2024-11-27 14:47:37.871479</t>
        </is>
      </c>
      <c r="B2" t="inlineStr">
        <is>
          <t>a90eaff4-e8bd-400f-a4b9-63cc6e0bcb54</t>
        </is>
      </c>
      <c r="C2" t="inlineStr">
        <is>
          <t>672.55</t>
        </is>
      </c>
      <c r="D2" t="inlineStr">
        <is>
          <t>5</t>
        </is>
      </c>
      <c r="E2" t="inlineStr">
        <is>
          <t>Наличные</t>
        </is>
      </c>
    </row>
    <row r="3">
      <c r="A3" t="inlineStr">
        <is>
          <t>2025-01-16 04:40:42.804088</t>
        </is>
      </c>
      <c r="B3" t="inlineStr">
        <is>
          <t>f3dc17fc-f9fe-4beb-93f4-a27a02adb152</t>
        </is>
      </c>
      <c r="C3" t="inlineStr">
        <is>
          <t>608.55</t>
        </is>
      </c>
      <c r="D3" t="inlineStr">
        <is>
          <t>5</t>
        </is>
      </c>
      <c r="E3" t="inlineStr">
        <is>
          <t>Qr-код</t>
        </is>
      </c>
    </row>
    <row r="4">
      <c r="A4" t="inlineStr">
        <is>
          <t>2025-01-13 06:51:25.062189</t>
        </is>
      </c>
      <c r="B4" t="inlineStr">
        <is>
          <t>e9aa2886-0ba0-4b7a-96dc-078855f99872</t>
        </is>
      </c>
      <c r="C4" t="inlineStr">
        <is>
          <t>279.1</t>
        </is>
      </c>
      <c r="D4" t="inlineStr">
        <is>
          <t>2</t>
        </is>
      </c>
      <c r="E4" t="inlineStr">
        <is>
          <t>Наличные</t>
        </is>
      </c>
    </row>
    <row r="5">
      <c r="A5" t="inlineStr">
        <is>
          <t>2025-01-21 09:47:54.903002</t>
        </is>
      </c>
      <c r="B5" t="inlineStr">
        <is>
          <t>50c6dd4f-70f2-4ec1-a80c-0fc0069f08c2</t>
        </is>
      </c>
      <c r="C5" t="inlineStr">
        <is>
          <t>192.14</t>
        </is>
      </c>
      <c r="D5" t="inlineStr">
        <is>
          <t>1</t>
        </is>
      </c>
      <c r="E5" t="inlineStr">
        <is>
          <t>Карта</t>
        </is>
      </c>
    </row>
    <row r="6">
      <c r="A6" t="inlineStr">
        <is>
          <t>2025-02-02 16:49:46.108729</t>
        </is>
      </c>
      <c r="B6" t="inlineStr">
        <is>
          <t>e7cf5f27-b23e-484a-8a9f-6dc67503a89a</t>
        </is>
      </c>
      <c r="C6" t="inlineStr">
        <is>
          <t>351.36</t>
        </is>
      </c>
      <c r="D6" t="inlineStr">
        <is>
          <t>2</t>
        </is>
      </c>
      <c r="E6" t="inlineStr">
        <is>
          <t>Наличные</t>
        </is>
      </c>
    </row>
    <row r="7">
      <c r="A7" t="inlineStr">
        <is>
          <t>2024-04-30 14:21:42.470640</t>
        </is>
      </c>
      <c r="B7" t="inlineStr">
        <is>
          <t>acdfa29d-f642-4ba7-939a-0c8262ff7c41</t>
        </is>
      </c>
      <c r="C7" t="inlineStr">
        <is>
          <t>99.06</t>
        </is>
      </c>
      <c r="D7" t="inlineStr">
        <is>
          <t>2</t>
        </is>
      </c>
      <c r="E7" t="inlineStr">
        <is>
          <t>Qr-код</t>
        </is>
      </c>
    </row>
    <row r="8">
      <c r="A8" t="inlineStr">
        <is>
          <t>2024-10-27 10:25:01.244258</t>
        </is>
      </c>
      <c r="B8" t="inlineStr">
        <is>
          <t>4b5016ea-81a5-4ba4-97c2-5ff98123bac3</t>
        </is>
      </c>
      <c r="C8" t="inlineStr">
        <is>
          <t>163.36</t>
        </is>
      </c>
      <c r="D8" t="inlineStr">
        <is>
          <t>2</t>
        </is>
      </c>
      <c r="E8" t="inlineStr">
        <is>
          <t>Карта</t>
        </is>
      </c>
    </row>
    <row r="9">
      <c r="A9" t="inlineStr">
        <is>
          <t>2024-12-18 13:27:48.409737</t>
        </is>
      </c>
      <c r="B9" t="inlineStr">
        <is>
          <t>a90eaff4-e8bd-400f-a4b9-63cc6e0bcb54</t>
        </is>
      </c>
      <c r="C9" t="inlineStr">
        <is>
          <t>403.53</t>
        </is>
      </c>
      <c r="D9" t="inlineStr">
        <is>
          <t>3</t>
        </is>
      </c>
      <c r="E9" t="inlineStr">
        <is>
          <t>Карта</t>
        </is>
      </c>
    </row>
    <row r="10">
      <c r="A10" t="inlineStr">
        <is>
          <t>2024-04-27 01:39:03.073606</t>
        </is>
      </c>
      <c r="B10" t="inlineStr">
        <is>
          <t>31995494-84d0-4cc8-8765-df869685e234</t>
        </is>
      </c>
      <c r="C10" t="inlineStr">
        <is>
          <t>303.08</t>
        </is>
      </c>
      <c r="D10" t="inlineStr">
        <is>
          <t>4</t>
        </is>
      </c>
      <c r="E10" t="inlineStr">
        <is>
          <t>Карта</t>
        </is>
      </c>
    </row>
    <row r="11">
      <c r="A11" t="inlineStr">
        <is>
          <t>2024-08-23 06:36:30.671468</t>
        </is>
      </c>
      <c r="B11" t="inlineStr">
        <is>
          <t>cca932b0-81f0-45a1-9af7-8fe57aa1873e</t>
        </is>
      </c>
      <c r="C11" t="inlineStr">
        <is>
          <t>645.08</t>
        </is>
      </c>
      <c r="D11" t="inlineStr">
        <is>
          <t>4</t>
        </is>
      </c>
      <c r="E11" t="inlineStr">
        <is>
          <t>Qr-код</t>
        </is>
      </c>
    </row>
    <row r="12">
      <c r="A12" t="inlineStr">
        <is>
          <t>2025-03-10 21:09:02.219013</t>
        </is>
      </c>
      <c r="B12" t="inlineStr">
        <is>
          <t>836b11ff-ec22-4433-8f72-11ce31d21bd7</t>
        </is>
      </c>
      <c r="C12" t="inlineStr">
        <is>
          <t>150.16</t>
        </is>
      </c>
      <c r="D12" t="inlineStr">
        <is>
          <t>1</t>
        </is>
      </c>
      <c r="E12" t="inlineStr">
        <is>
          <t>Наличные</t>
        </is>
      </c>
    </row>
    <row r="13">
      <c r="A13" t="inlineStr">
        <is>
          <t>2024-09-09 05:06:19.985226</t>
        </is>
      </c>
      <c r="B13" t="inlineStr">
        <is>
          <t>3f9de4b4-8188-4bd9-8a98-55c4b27af3a9</t>
        </is>
      </c>
      <c r="C13" t="inlineStr">
        <is>
          <t>158.96</t>
        </is>
      </c>
      <c r="D13" t="inlineStr">
        <is>
          <t>2</t>
        </is>
      </c>
      <c r="E13" t="inlineStr">
        <is>
          <t>Qr-код</t>
        </is>
      </c>
    </row>
    <row r="14">
      <c r="A14" t="inlineStr">
        <is>
          <t>2024-08-06 20:10:59.228587</t>
        </is>
      </c>
      <c r="B14" t="inlineStr">
        <is>
          <t>bb2999ed-c6ae-4172-9343-60b1d1b7bd1f</t>
        </is>
      </c>
      <c r="C14" t="inlineStr">
        <is>
          <t>623.48</t>
        </is>
      </c>
      <c r="D14" t="inlineStr">
        <is>
          <t>4</t>
        </is>
      </c>
      <c r="E14" t="inlineStr">
        <is>
          <t>Qr-код</t>
        </is>
      </c>
    </row>
    <row r="15">
      <c r="A15" t="inlineStr">
        <is>
          <t>2024-11-26 13:50:48.573074</t>
        </is>
      </c>
      <c r="B15" t="inlineStr">
        <is>
          <t>514fef90-eb36-454f-968c-a02b1dbcf7d8</t>
        </is>
      </c>
      <c r="C15" t="inlineStr">
        <is>
          <t>81.2</t>
        </is>
      </c>
      <c r="D15" t="inlineStr">
        <is>
          <t>1</t>
        </is>
      </c>
      <c r="E15" t="inlineStr">
        <is>
          <t>Наличные</t>
        </is>
      </c>
    </row>
    <row r="16">
      <c r="A16" t="inlineStr">
        <is>
          <t>2024-11-10 22:26:34.302822</t>
        </is>
      </c>
      <c r="B16" t="inlineStr">
        <is>
          <t>bb2999ed-c6ae-4172-9343-60b1d1b7bd1f</t>
        </is>
      </c>
      <c r="C16" t="inlineStr">
        <is>
          <t>467.61</t>
        </is>
      </c>
      <c r="D16" t="inlineStr">
        <is>
          <t>3</t>
        </is>
      </c>
      <c r="E16" t="inlineStr">
        <is>
          <t>Qr-код</t>
        </is>
      </c>
    </row>
    <row r="17">
      <c r="A17" t="inlineStr">
        <is>
          <t>2024-07-28 18:30:49.731946</t>
        </is>
      </c>
      <c r="B17" t="inlineStr">
        <is>
          <t>31995494-84d0-4cc8-8765-df869685e234</t>
        </is>
      </c>
      <c r="C17" t="inlineStr">
        <is>
          <t>227.31</t>
        </is>
      </c>
      <c r="D17" t="inlineStr">
        <is>
          <t>3</t>
        </is>
      </c>
      <c r="E17" t="inlineStr">
        <is>
          <t>Наличные</t>
        </is>
      </c>
    </row>
    <row r="18">
      <c r="A18" t="inlineStr">
        <is>
          <t>2024-05-09 19:14:55.198546</t>
        </is>
      </c>
      <c r="B18" t="inlineStr">
        <is>
          <t>f6ffc6f0-c513-449c-bcc7-66505087e4f6</t>
        </is>
      </c>
      <c r="C18" t="inlineStr">
        <is>
          <t>162.95</t>
        </is>
      </c>
      <c r="D18" t="inlineStr">
        <is>
          <t>5</t>
        </is>
      </c>
      <c r="E18" t="inlineStr">
        <is>
          <t>Карта</t>
        </is>
      </c>
    </row>
    <row r="19">
      <c r="A19" t="inlineStr">
        <is>
          <t>2024-09-27 13:43:08.026810</t>
        </is>
      </c>
      <c r="B19" t="inlineStr">
        <is>
          <t>2c90df73-2310-4499-bd86-701ee38b0974</t>
        </is>
      </c>
      <c r="C19" t="inlineStr">
        <is>
          <t>196.52</t>
        </is>
      </c>
      <c r="D19" t="inlineStr">
        <is>
          <t>4</t>
        </is>
      </c>
      <c r="E19" t="inlineStr">
        <is>
          <t>Карта</t>
        </is>
      </c>
    </row>
    <row r="20">
      <c r="A20" t="inlineStr">
        <is>
          <t>2024-08-17 23:02:06.796397</t>
        </is>
      </c>
      <c r="B20" t="inlineStr">
        <is>
          <t>fa4180fd-2756-4f01-aaa0-aa051c939b1a</t>
        </is>
      </c>
      <c r="C20" t="inlineStr">
        <is>
          <t>537.5</t>
        </is>
      </c>
      <c r="D20" t="inlineStr">
        <is>
          <t>5</t>
        </is>
      </c>
      <c r="E20" t="inlineStr">
        <is>
          <t>Карта</t>
        </is>
      </c>
    </row>
    <row r="21">
      <c r="A21" t="inlineStr">
        <is>
          <t>2024-07-29 08:54:31.572780</t>
        </is>
      </c>
      <c r="B21" t="inlineStr">
        <is>
          <t>65c81bfc-a283-4a14-a8f7-60800963d5b7</t>
        </is>
      </c>
      <c r="C21" t="inlineStr">
        <is>
          <t>494.64</t>
        </is>
      </c>
      <c r="D21" t="inlineStr">
        <is>
          <t>4</t>
        </is>
      </c>
      <c r="E21" t="inlineStr">
        <is>
          <t>Наличные</t>
        </is>
      </c>
    </row>
    <row r="22">
      <c r="A22" t="inlineStr">
        <is>
          <t>2024-10-30 19:50:22.569082</t>
        </is>
      </c>
      <c r="B22" t="inlineStr">
        <is>
          <t>121d56e4-dc5b-43c3-8658-d1a00f8cbf76</t>
        </is>
      </c>
      <c r="C22" t="inlineStr">
        <is>
          <t>91.06</t>
        </is>
      </c>
      <c r="D22" t="inlineStr">
        <is>
          <t>2</t>
        </is>
      </c>
      <c r="E22" t="inlineStr">
        <is>
          <t>Наличные</t>
        </is>
      </c>
    </row>
    <row r="23">
      <c r="A23" t="inlineStr">
        <is>
          <t>2024-05-23 02:48:43.412208</t>
        </is>
      </c>
      <c r="B23" t="inlineStr">
        <is>
          <t>e8c1eb57-f3f2-48ad-b65f-b3cb39617849</t>
        </is>
      </c>
      <c r="C23" t="inlineStr">
        <is>
          <t>181.28</t>
        </is>
      </c>
      <c r="D23" t="inlineStr">
        <is>
          <t>1</t>
        </is>
      </c>
      <c r="E23" t="inlineStr">
        <is>
          <t>Карта</t>
        </is>
      </c>
    </row>
    <row r="24">
      <c r="A24" t="inlineStr">
        <is>
          <t>2025-03-01 12:21:12.615944</t>
        </is>
      </c>
      <c r="B24" t="inlineStr">
        <is>
          <t>8aba3e58-49f7-44f0-9f7b-f8ad1cd570dc</t>
        </is>
      </c>
      <c r="C24" t="inlineStr">
        <is>
          <t>390.06</t>
        </is>
      </c>
      <c r="D24" t="inlineStr">
        <is>
          <t>2</t>
        </is>
      </c>
      <c r="E24" t="inlineStr">
        <is>
          <t>Qr-код</t>
        </is>
      </c>
    </row>
    <row r="25">
      <c r="A25" t="inlineStr">
        <is>
          <t>2024-04-22 23:02:03.463577</t>
        </is>
      </c>
      <c r="B25" t="inlineStr">
        <is>
          <t>31995494-84d0-4cc8-8765-df869685e234</t>
        </is>
      </c>
      <c r="C25" t="inlineStr">
        <is>
          <t>75.77</t>
        </is>
      </c>
      <c r="D25" t="inlineStr">
        <is>
          <t>1</t>
        </is>
      </c>
      <c r="E25" t="inlineStr">
        <is>
          <t>Карта</t>
        </is>
      </c>
    </row>
    <row r="26">
      <c r="A26" t="inlineStr">
        <is>
          <t>2024-05-14 10:18:27.273029</t>
        </is>
      </c>
      <c r="B26" t="inlineStr">
        <is>
          <t>836b11ff-ec22-4433-8f72-11ce31d21bd7</t>
        </is>
      </c>
      <c r="C26" t="inlineStr">
        <is>
          <t>150.16</t>
        </is>
      </c>
      <c r="D26" t="inlineStr">
        <is>
          <t>1</t>
        </is>
      </c>
      <c r="E26" t="inlineStr">
        <is>
          <t>Qr-код</t>
        </is>
      </c>
    </row>
    <row r="27">
      <c r="A27" t="inlineStr">
        <is>
          <t>2024-09-28 02:20:57.040801</t>
        </is>
      </c>
      <c r="B27" t="inlineStr">
        <is>
          <t>224cdcde-36ee-45da-9ae5-2588df8f96fb</t>
        </is>
      </c>
      <c r="C27" t="inlineStr">
        <is>
          <t>274.28</t>
        </is>
      </c>
      <c r="D27" t="inlineStr">
        <is>
          <t>4</t>
        </is>
      </c>
      <c r="E27" t="inlineStr">
        <is>
          <t>Qr-код</t>
        </is>
      </c>
    </row>
    <row r="28">
      <c r="A28" t="inlineStr">
        <is>
          <t>2024-08-24 16:53:01.238351</t>
        </is>
      </c>
      <c r="B28" t="inlineStr">
        <is>
          <t>075ac323-7649-44e8-bbff-60cbda965c47</t>
        </is>
      </c>
      <c r="C28" t="inlineStr">
        <is>
          <t>133.4</t>
        </is>
      </c>
      <c r="D28" t="inlineStr">
        <is>
          <t>1</t>
        </is>
      </c>
      <c r="E28" t="inlineStr">
        <is>
          <t>Карта</t>
        </is>
      </c>
    </row>
    <row r="29">
      <c r="A29" t="inlineStr">
        <is>
          <t>2025-01-02 18:10:06.487023</t>
        </is>
      </c>
      <c r="B29" t="inlineStr">
        <is>
          <t>e4cb82db-3355-4fef-b410-fab99949cb04</t>
        </is>
      </c>
      <c r="C29" t="inlineStr">
        <is>
          <t>74.8</t>
        </is>
      </c>
      <c r="D29" t="inlineStr">
        <is>
          <t>2</t>
        </is>
      </c>
      <c r="E29" t="inlineStr">
        <is>
          <t>Наличные</t>
        </is>
      </c>
    </row>
    <row r="30">
      <c r="A30" t="inlineStr">
        <is>
          <t>2025-03-17 08:55:05.941522</t>
        </is>
      </c>
      <c r="B30" t="inlineStr">
        <is>
          <t>f6ffc6f0-c513-449c-bcc7-66505087e4f6</t>
        </is>
      </c>
      <c r="C30" t="inlineStr">
        <is>
          <t>97.77</t>
        </is>
      </c>
      <c r="D30" t="inlineStr">
        <is>
          <t>3</t>
        </is>
      </c>
      <c r="E30" t="inlineStr">
        <is>
          <t>Наличные</t>
        </is>
      </c>
    </row>
    <row r="31">
      <c r="A31" t="inlineStr">
        <is>
          <t>2024-09-24 05:59:56.607662</t>
        </is>
      </c>
      <c r="B31" t="inlineStr">
        <is>
          <t>121d56e4-dc5b-43c3-8658-d1a00f8cbf76</t>
        </is>
      </c>
      <c r="C31" t="inlineStr">
        <is>
          <t>182.12</t>
        </is>
      </c>
      <c r="D31" t="inlineStr">
        <is>
          <t>4</t>
        </is>
      </c>
      <c r="E31" t="inlineStr">
        <is>
          <t>Qr-код</t>
        </is>
      </c>
    </row>
    <row r="32">
      <c r="A32" t="inlineStr">
        <is>
          <t>2025-03-30 01:59:16.079005</t>
        </is>
      </c>
      <c r="B32" t="inlineStr">
        <is>
          <t>bb2999ed-c6ae-4172-9343-60b1d1b7bd1f</t>
        </is>
      </c>
      <c r="C32" t="inlineStr">
        <is>
          <t>155.87</t>
        </is>
      </c>
      <c r="D32" t="inlineStr">
        <is>
          <t>1</t>
        </is>
      </c>
      <c r="E32" t="inlineStr">
        <is>
          <t>Qr-код</t>
        </is>
      </c>
    </row>
    <row r="33">
      <c r="A33" t="inlineStr">
        <is>
          <t>2024-08-07 12:40:14.516146</t>
        </is>
      </c>
      <c r="B33" t="inlineStr">
        <is>
          <t>c3737840-6332-4bc6-b5bc-80f92f074f58</t>
        </is>
      </c>
      <c r="C33" t="inlineStr">
        <is>
          <t>124.51</t>
        </is>
      </c>
      <c r="D33" t="inlineStr">
        <is>
          <t>1</t>
        </is>
      </c>
      <c r="E33" t="inlineStr">
        <is>
          <t>Карта</t>
        </is>
      </c>
    </row>
    <row r="34">
      <c r="A34" t="inlineStr">
        <is>
          <t>2024-04-21 18:28:21.727000</t>
        </is>
      </c>
      <c r="B34" t="inlineStr">
        <is>
          <t>db33e8df-278c-472c-a45a-c3ddb7374b3a</t>
        </is>
      </c>
      <c r="C34" t="inlineStr">
        <is>
          <t>361.15</t>
        </is>
      </c>
      <c r="D34" t="inlineStr">
        <is>
          <t>5</t>
        </is>
      </c>
      <c r="E34" t="inlineStr">
        <is>
          <t>Qr-код</t>
        </is>
      </c>
    </row>
    <row r="35">
      <c r="A35" t="inlineStr">
        <is>
          <t>2024-07-15 00:37:10.597080</t>
        </is>
      </c>
      <c r="B35" t="inlineStr">
        <is>
          <t>50c6dd4f-70f2-4ec1-a80c-0fc0069f08c2</t>
        </is>
      </c>
      <c r="C35" t="inlineStr">
        <is>
          <t>768.56</t>
        </is>
      </c>
      <c r="D35" t="inlineStr">
        <is>
          <t>4</t>
        </is>
      </c>
      <c r="E35" t="inlineStr">
        <is>
          <t>Qr-код</t>
        </is>
      </c>
    </row>
    <row r="36">
      <c r="A36" t="inlineStr">
        <is>
          <t>2024-04-15 14:57:32.884329</t>
        </is>
      </c>
      <c r="B36" t="inlineStr">
        <is>
          <t>65c81bfc-a283-4a14-a8f7-60800963d5b7</t>
        </is>
      </c>
      <c r="C36" t="inlineStr">
        <is>
          <t>494.64</t>
        </is>
      </c>
      <c r="D36" t="inlineStr">
        <is>
          <t>4</t>
        </is>
      </c>
      <c r="E36" t="inlineStr">
        <is>
          <t>Наличные</t>
        </is>
      </c>
    </row>
    <row r="37">
      <c r="A37" t="inlineStr">
        <is>
          <t>2024-10-02 07:53:11.018382</t>
        </is>
      </c>
      <c r="B37" t="inlineStr">
        <is>
          <t>1570c922-d706-46a4-bc41-329483be4822</t>
        </is>
      </c>
      <c r="C37" t="inlineStr">
        <is>
          <t>340.16</t>
        </is>
      </c>
      <c r="D37" t="inlineStr">
        <is>
          <t>2</t>
        </is>
      </c>
      <c r="E37" t="inlineStr">
        <is>
          <t>Наличные</t>
        </is>
      </c>
    </row>
    <row r="38">
      <c r="A38" t="inlineStr">
        <is>
          <t>2024-12-20 23:51:59.883598</t>
        </is>
      </c>
      <c r="B38" t="inlineStr">
        <is>
          <t>afeeb9f2-2b7c-45c9-a063-b4a0d44dbb48</t>
        </is>
      </c>
      <c r="C38" t="inlineStr">
        <is>
          <t>789.45</t>
        </is>
      </c>
      <c r="D38" t="inlineStr">
        <is>
          <t>5</t>
        </is>
      </c>
      <c r="E38" t="inlineStr">
        <is>
          <t>Qr-код</t>
        </is>
      </c>
    </row>
    <row r="39">
      <c r="A39" t="inlineStr">
        <is>
          <t>2025-02-25 22:16:48.731983</t>
        </is>
      </c>
      <c r="B39" t="inlineStr">
        <is>
          <t>3dd6269e-af5b-451b-bd3b-552b73c1751d</t>
        </is>
      </c>
      <c r="C39" t="inlineStr">
        <is>
          <t>207.09</t>
        </is>
      </c>
      <c r="D39" t="inlineStr">
        <is>
          <t>3</t>
        </is>
      </c>
      <c r="E39" t="inlineStr">
        <is>
          <t>Карта</t>
        </is>
      </c>
    </row>
    <row r="40">
      <c r="A40" t="inlineStr">
        <is>
          <t>2024-12-28 22:39:16.996444</t>
        </is>
      </c>
      <c r="B40" t="inlineStr">
        <is>
          <t>e4cb82db-3355-4fef-b410-fab99949cb04</t>
        </is>
      </c>
      <c r="C40" t="inlineStr">
        <is>
          <t>37.4</t>
        </is>
      </c>
      <c r="D40" t="inlineStr">
        <is>
          <t>1</t>
        </is>
      </c>
      <c r="E40" t="inlineStr">
        <is>
          <t>Qr-код</t>
        </is>
      </c>
    </row>
    <row r="41">
      <c r="A41" t="inlineStr">
        <is>
          <t>2024-09-03 16:31:07.275221</t>
        </is>
      </c>
      <c r="B41" t="inlineStr">
        <is>
          <t>c3737840-6332-4bc6-b5bc-80f92f074f58</t>
        </is>
      </c>
      <c r="C41" t="inlineStr">
        <is>
          <t>498.04</t>
        </is>
      </c>
      <c r="D41" t="inlineStr">
        <is>
          <t>4</t>
        </is>
      </c>
      <c r="E41" t="inlineStr">
        <is>
          <t>Карта</t>
        </is>
      </c>
    </row>
    <row r="42">
      <c r="A42" t="inlineStr">
        <is>
          <t>2024-05-02 13:24:24.446490</t>
        </is>
      </c>
      <c r="B42" t="inlineStr">
        <is>
          <t>8b889b5b-7567-45fa-97c9-09e56237d033</t>
        </is>
      </c>
      <c r="C42" t="inlineStr">
        <is>
          <t>175.75</t>
        </is>
      </c>
      <c r="D42" t="inlineStr">
        <is>
          <t>1</t>
        </is>
      </c>
      <c r="E42" t="inlineStr">
        <is>
          <t>Qr-код</t>
        </is>
      </c>
    </row>
    <row r="43">
      <c r="A43" t="inlineStr">
        <is>
          <t>2024-04-23 01:17:06.815279</t>
        </is>
      </c>
      <c r="B43" t="inlineStr">
        <is>
          <t>8aba3e58-49f7-44f0-9f7b-f8ad1cd570dc</t>
        </is>
      </c>
      <c r="C43" t="inlineStr">
        <is>
          <t>585.09</t>
        </is>
      </c>
      <c r="D43" t="inlineStr">
        <is>
          <t>3</t>
        </is>
      </c>
      <c r="E43" t="inlineStr">
        <is>
          <t>Карта</t>
        </is>
      </c>
    </row>
    <row r="44">
      <c r="A44" t="inlineStr">
        <is>
          <t>2024-12-31 14:19:03.435814</t>
        </is>
      </c>
      <c r="B44" t="inlineStr">
        <is>
          <t>1570c922-d706-46a4-bc41-329483be4822</t>
        </is>
      </c>
      <c r="C44" t="inlineStr">
        <is>
          <t>850.4</t>
        </is>
      </c>
      <c r="D44" t="inlineStr">
        <is>
          <t>5</t>
        </is>
      </c>
      <c r="E44" t="inlineStr">
        <is>
          <t>Карта</t>
        </is>
      </c>
    </row>
    <row r="45">
      <c r="A45" t="inlineStr">
        <is>
          <t>2024-09-28 09:21:11.924936</t>
        </is>
      </c>
      <c r="B45" t="inlineStr">
        <is>
          <t>f015385b-be00-4ec9-acbf-2fcf38b9d7fd</t>
        </is>
      </c>
      <c r="C45" t="inlineStr">
        <is>
          <t>617.84</t>
        </is>
      </c>
      <c r="D45" t="inlineStr">
        <is>
          <t>4</t>
        </is>
      </c>
      <c r="E45" t="inlineStr">
        <is>
          <t>Наличные</t>
        </is>
      </c>
    </row>
    <row r="46">
      <c r="A46" t="inlineStr">
        <is>
          <t>2025-03-17 12:11:58.815909</t>
        </is>
      </c>
      <c r="B46" t="inlineStr">
        <is>
          <t>cca932b0-81f0-45a1-9af7-8fe57aa1873e</t>
        </is>
      </c>
      <c r="C46" t="inlineStr">
        <is>
          <t>161.27</t>
        </is>
      </c>
      <c r="D46" t="inlineStr">
        <is>
          <t>1</t>
        </is>
      </c>
      <c r="E46" t="inlineStr">
        <is>
          <t>Qr-код</t>
        </is>
      </c>
    </row>
    <row r="47">
      <c r="A47" t="inlineStr">
        <is>
          <t>2025-01-28 02:51:53.009665</t>
        </is>
      </c>
      <c r="B47" t="inlineStr">
        <is>
          <t>e4cb82db-3355-4fef-b410-fab99949cb04</t>
        </is>
      </c>
      <c r="C47" t="inlineStr">
        <is>
          <t>187.0</t>
        </is>
      </c>
      <c r="D47" t="inlineStr">
        <is>
          <t>5</t>
        </is>
      </c>
      <c r="E47" t="inlineStr">
        <is>
          <t>Карта</t>
        </is>
      </c>
    </row>
    <row r="48">
      <c r="A48" t="inlineStr">
        <is>
          <t>2024-06-14 14:31:03.913802</t>
        </is>
      </c>
      <c r="B48" t="inlineStr">
        <is>
          <t>db33e8df-278c-472c-a45a-c3ddb7374b3a</t>
        </is>
      </c>
      <c r="C48" t="inlineStr">
        <is>
          <t>361.15</t>
        </is>
      </c>
      <c r="D48" t="inlineStr">
        <is>
          <t>5</t>
        </is>
      </c>
      <c r="E48" t="inlineStr">
        <is>
          <t>Qr-код</t>
        </is>
      </c>
    </row>
    <row r="49">
      <c r="A49" t="inlineStr">
        <is>
          <t>2024-09-27 05:13:26.243619</t>
        </is>
      </c>
      <c r="B49" t="inlineStr">
        <is>
          <t>1dd986b1-4f40-4db2-9dfe-5c1565cfd754</t>
        </is>
      </c>
      <c r="C49" t="inlineStr">
        <is>
          <t>143.78</t>
        </is>
      </c>
      <c r="D49" t="inlineStr">
        <is>
          <t>1</t>
        </is>
      </c>
      <c r="E49" t="inlineStr">
        <is>
          <t>Карта</t>
        </is>
      </c>
    </row>
    <row r="50">
      <c r="A50" t="inlineStr">
        <is>
          <t>2024-10-06 07:30:51.514135</t>
        </is>
      </c>
      <c r="B50" t="inlineStr">
        <is>
          <t>d27ea808-ee98-4fd0-b867-b5a4a0576c68</t>
        </is>
      </c>
      <c r="C50" t="inlineStr">
        <is>
          <t>486.69</t>
        </is>
      </c>
      <c r="D50" t="inlineStr">
        <is>
          <t>3</t>
        </is>
      </c>
      <c r="E50" t="inlineStr">
        <is>
          <t>Карта</t>
        </is>
      </c>
    </row>
    <row r="51">
      <c r="A51" t="inlineStr">
        <is>
          <t>2024-12-05 04:45:59.791977</t>
        </is>
      </c>
      <c r="B51" t="inlineStr">
        <is>
          <t>5da14b84-a68f-488d-9e1e-e1ca615fb0d8</t>
        </is>
      </c>
      <c r="C51" t="inlineStr">
        <is>
          <t>345.72</t>
        </is>
      </c>
      <c r="D51" t="inlineStr">
        <is>
          <t>2</t>
        </is>
      </c>
      <c r="E51" t="inlineStr">
        <is>
          <t>Карта</t>
        </is>
      </c>
    </row>
    <row r="52">
      <c r="A52" t="inlineStr">
        <is>
          <t>2025-01-04 10:53:23.268174</t>
        </is>
      </c>
      <c r="B52" t="inlineStr">
        <is>
          <t>e9aa2886-0ba0-4b7a-96dc-078855f99872</t>
        </is>
      </c>
      <c r="C52" t="inlineStr">
        <is>
          <t>139.55</t>
        </is>
      </c>
      <c r="D52" t="inlineStr">
        <is>
          <t>1</t>
        </is>
      </c>
      <c r="E52" t="inlineStr">
        <is>
          <t>Qr-код</t>
        </is>
      </c>
    </row>
    <row r="53">
      <c r="A53" t="inlineStr">
        <is>
          <t>2024-08-21 19:39:48.463551</t>
        </is>
      </c>
      <c r="B53" t="inlineStr">
        <is>
          <t>50c6dd4f-70f2-4ec1-a80c-0fc0069f08c2</t>
        </is>
      </c>
      <c r="C53" t="inlineStr">
        <is>
          <t>384.28</t>
        </is>
      </c>
      <c r="D53" t="inlineStr">
        <is>
          <t>2</t>
        </is>
      </c>
      <c r="E53" t="inlineStr">
        <is>
          <t>Карта</t>
        </is>
      </c>
    </row>
    <row r="54">
      <c r="A54" t="inlineStr">
        <is>
          <t>2024-05-20 20:50:17.760021</t>
        </is>
      </c>
      <c r="B54" t="inlineStr">
        <is>
          <t>31995494-84d0-4cc8-8765-df869685e234</t>
        </is>
      </c>
      <c r="C54" t="inlineStr">
        <is>
          <t>227.31</t>
        </is>
      </c>
      <c r="D54" t="inlineStr">
        <is>
          <t>3</t>
        </is>
      </c>
      <c r="E54" t="inlineStr">
        <is>
          <t>Qr-код</t>
        </is>
      </c>
    </row>
    <row r="55">
      <c r="A55" t="inlineStr">
        <is>
          <t>2025-02-22 11:06:44.655167</t>
        </is>
      </c>
      <c r="B55" t="inlineStr">
        <is>
          <t>e4cb82db-3355-4fef-b410-fab99949cb04</t>
        </is>
      </c>
      <c r="C55" t="inlineStr">
        <is>
          <t>112.2</t>
        </is>
      </c>
      <c r="D55" t="inlineStr">
        <is>
          <t>3</t>
        </is>
      </c>
      <c r="E55" t="inlineStr">
        <is>
          <t>Наличные</t>
        </is>
      </c>
    </row>
    <row r="56">
      <c r="A56" t="inlineStr">
        <is>
          <t>2024-06-05 03:20:55.606520</t>
        </is>
      </c>
      <c r="B56" t="inlineStr">
        <is>
          <t>836b11ff-ec22-4433-8f72-11ce31d21bd7</t>
        </is>
      </c>
      <c r="C56" t="inlineStr">
        <is>
          <t>600.64</t>
        </is>
      </c>
      <c r="D56" t="inlineStr">
        <is>
          <t>4</t>
        </is>
      </c>
      <c r="E56" t="inlineStr">
        <is>
          <t>Qr-код</t>
        </is>
      </c>
    </row>
    <row r="57">
      <c r="A57" t="inlineStr">
        <is>
          <t>2025-01-28 19:47:23.053774</t>
        </is>
      </c>
      <c r="B57" t="inlineStr">
        <is>
          <t>1dd986b1-4f40-4db2-9dfe-5c1565cfd754</t>
        </is>
      </c>
      <c r="C57" t="inlineStr">
        <is>
          <t>575.12</t>
        </is>
      </c>
      <c r="D57" t="inlineStr">
        <is>
          <t>4</t>
        </is>
      </c>
      <c r="E57" t="inlineStr">
        <is>
          <t>Qr-код</t>
        </is>
      </c>
    </row>
    <row r="58">
      <c r="A58" t="inlineStr">
        <is>
          <t>2025-02-09 12:09:11.621874</t>
        </is>
      </c>
      <c r="B58" t="inlineStr">
        <is>
          <t>65c81bfc-a283-4a14-a8f7-60800963d5b7</t>
        </is>
      </c>
      <c r="C58" t="inlineStr">
        <is>
          <t>123.66</t>
        </is>
      </c>
      <c r="D58" t="inlineStr">
        <is>
          <t>1</t>
        </is>
      </c>
      <c r="E58" t="inlineStr">
        <is>
          <t>Наличные</t>
        </is>
      </c>
    </row>
    <row r="59">
      <c r="A59" t="inlineStr">
        <is>
          <t>2024-04-21 01:46:42.617750</t>
        </is>
      </c>
      <c r="B59" t="inlineStr">
        <is>
          <t>31995494-84d0-4cc8-8765-df869685e234</t>
        </is>
      </c>
      <c r="C59" t="inlineStr">
        <is>
          <t>227.31</t>
        </is>
      </c>
      <c r="D59" t="inlineStr">
        <is>
          <t>3</t>
        </is>
      </c>
      <c r="E59" t="inlineStr">
        <is>
          <t>Карта</t>
        </is>
      </c>
    </row>
    <row r="60">
      <c r="A60" t="inlineStr">
        <is>
          <t>2024-10-21 18:07:12.989330</t>
        </is>
      </c>
      <c r="B60" t="inlineStr">
        <is>
          <t>121d56e4-dc5b-43c3-8658-d1a00f8cbf76</t>
        </is>
      </c>
      <c r="C60" t="inlineStr">
        <is>
          <t>91.06</t>
        </is>
      </c>
      <c r="D60" t="inlineStr">
        <is>
          <t>2</t>
        </is>
      </c>
      <c r="E60" t="inlineStr">
        <is>
          <t>Карта</t>
        </is>
      </c>
    </row>
    <row r="61">
      <c r="A61" t="inlineStr">
        <is>
          <t>2024-10-28 04:10:08.330399</t>
        </is>
      </c>
      <c r="B61" t="inlineStr">
        <is>
          <t>2c90df73-2310-4499-bd86-701ee38b0974</t>
        </is>
      </c>
      <c r="C61" t="inlineStr">
        <is>
          <t>147.39</t>
        </is>
      </c>
      <c r="D61" t="inlineStr">
        <is>
          <t>3</t>
        </is>
      </c>
      <c r="E61" t="inlineStr">
        <is>
          <t>Qr-код</t>
        </is>
      </c>
    </row>
    <row r="62">
      <c r="A62" t="inlineStr">
        <is>
          <t>2024-10-16 23:37:32.248382</t>
        </is>
      </c>
      <c r="B62" t="inlineStr">
        <is>
          <t>4b5016ea-81a5-4ba4-97c2-5ff98123bac3</t>
        </is>
      </c>
      <c r="C62" t="inlineStr">
        <is>
          <t>163.36</t>
        </is>
      </c>
      <c r="D62" t="inlineStr">
        <is>
          <t>2</t>
        </is>
      </c>
      <c r="E62" t="inlineStr">
        <is>
          <t>Qr-код</t>
        </is>
      </c>
    </row>
    <row r="63">
      <c r="A63" t="inlineStr">
        <is>
          <t>2024-06-22 13:17:30.510481</t>
        </is>
      </c>
      <c r="B63" t="inlineStr">
        <is>
          <t>224cdcde-36ee-45da-9ae5-2588df8f96fb</t>
        </is>
      </c>
      <c r="C63" t="inlineStr">
        <is>
          <t>274.28</t>
        </is>
      </c>
      <c r="D63" t="inlineStr">
        <is>
          <t>4</t>
        </is>
      </c>
      <c r="E63" t="inlineStr">
        <is>
          <t>Наличные</t>
        </is>
      </c>
    </row>
    <row r="64">
      <c r="A64" t="inlineStr">
        <is>
          <t>2024-07-20 14:47:19.287896</t>
        </is>
      </c>
      <c r="B64" t="inlineStr">
        <is>
          <t>2c90df73-2310-4499-bd86-701ee38b0974</t>
        </is>
      </c>
      <c r="C64" t="inlineStr">
        <is>
          <t>245.65</t>
        </is>
      </c>
      <c r="D64" t="inlineStr">
        <is>
          <t>5</t>
        </is>
      </c>
      <c r="E64" t="inlineStr">
        <is>
          <t>Qr-код</t>
        </is>
      </c>
    </row>
    <row r="65">
      <c r="A65" t="inlineStr">
        <is>
          <t>2024-05-16 02:51:44.766473</t>
        </is>
      </c>
      <c r="B65" t="inlineStr">
        <is>
          <t>3f9de4b4-8188-4bd9-8a98-55c4b27af3a9</t>
        </is>
      </c>
      <c r="C65" t="inlineStr">
        <is>
          <t>317.92</t>
        </is>
      </c>
      <c r="D65" t="inlineStr">
        <is>
          <t>4</t>
        </is>
      </c>
      <c r="E65" t="inlineStr">
        <is>
          <t>Qr-код</t>
        </is>
      </c>
    </row>
    <row r="66">
      <c r="A66" t="inlineStr">
        <is>
          <t>2025-02-14 21:23:05.340882</t>
        </is>
      </c>
      <c r="B66" t="inlineStr">
        <is>
          <t>075ac323-7649-44e8-bbff-60cbda965c47</t>
        </is>
      </c>
      <c r="C66" t="inlineStr">
        <is>
          <t>667.0</t>
        </is>
      </c>
      <c r="D66" t="inlineStr">
        <is>
          <t>5</t>
        </is>
      </c>
      <c r="E66" t="inlineStr">
        <is>
          <t>Карта</t>
        </is>
      </c>
    </row>
    <row r="67">
      <c r="A67" t="inlineStr">
        <is>
          <t>2025-01-28 07:41:10.313611</t>
        </is>
      </c>
      <c r="B67" t="inlineStr">
        <is>
          <t>31995494-84d0-4cc8-8765-df869685e234</t>
        </is>
      </c>
      <c r="C67" t="inlineStr">
        <is>
          <t>151.54</t>
        </is>
      </c>
      <c r="D67" t="inlineStr">
        <is>
          <t>2</t>
        </is>
      </c>
      <c r="E67" t="inlineStr">
        <is>
          <t>Наличные</t>
        </is>
      </c>
    </row>
    <row r="68">
      <c r="A68" t="inlineStr">
        <is>
          <t>2024-12-31 17:12:56.488411</t>
        </is>
      </c>
      <c r="B68" t="inlineStr">
        <is>
          <t>069d1026-82b5-4365-8481-1b38fe50307c</t>
        </is>
      </c>
      <c r="C68" t="inlineStr">
        <is>
          <t>526.0</t>
        </is>
      </c>
      <c r="D68" t="inlineStr">
        <is>
          <t>5</t>
        </is>
      </c>
      <c r="E68" t="inlineStr">
        <is>
          <t>Карта</t>
        </is>
      </c>
    </row>
    <row r="69">
      <c r="A69" t="inlineStr">
        <is>
          <t>2024-09-24 19:08:53.819383</t>
        </is>
      </c>
      <c r="B69" t="inlineStr">
        <is>
          <t>acdfa29d-f642-4ba7-939a-0c8262ff7c41</t>
        </is>
      </c>
      <c r="C69" t="inlineStr">
        <is>
          <t>247.65</t>
        </is>
      </c>
      <c r="D69" t="inlineStr">
        <is>
          <t>5</t>
        </is>
      </c>
      <c r="E69" t="inlineStr">
        <is>
          <t>Карта</t>
        </is>
      </c>
    </row>
    <row r="70">
      <c r="A70" t="inlineStr">
        <is>
          <t>2024-11-09 08:41:20.167121</t>
        </is>
      </c>
      <c r="B70" t="inlineStr">
        <is>
          <t>c3737840-6332-4bc6-b5bc-80f92f074f58</t>
        </is>
      </c>
      <c r="C70" t="inlineStr">
        <is>
          <t>373.53</t>
        </is>
      </c>
      <c r="D70" t="inlineStr">
        <is>
          <t>3</t>
        </is>
      </c>
      <c r="E70" t="inlineStr">
        <is>
          <t>Qr-код</t>
        </is>
      </c>
    </row>
    <row r="71">
      <c r="A71" t="inlineStr">
        <is>
          <t>2024-08-23 05:28:15.445162</t>
        </is>
      </c>
      <c r="B71" t="inlineStr">
        <is>
          <t>836b11ff-ec22-4433-8f72-11ce31d21bd7</t>
        </is>
      </c>
      <c r="C71" t="inlineStr">
        <is>
          <t>450.48</t>
        </is>
      </c>
      <c r="D71" t="inlineStr">
        <is>
          <t>3</t>
        </is>
      </c>
      <c r="E71" t="inlineStr">
        <is>
          <t>Наличные</t>
        </is>
      </c>
    </row>
    <row r="72">
      <c r="A72" t="inlineStr">
        <is>
          <t>2025-03-23 22:25:32.320810</t>
        </is>
      </c>
      <c r="B72" t="inlineStr">
        <is>
          <t>e9aa2886-0ba0-4b7a-96dc-078855f99872</t>
        </is>
      </c>
      <c r="C72" t="inlineStr">
        <is>
          <t>139.55</t>
        </is>
      </c>
      <c r="D72" t="inlineStr">
        <is>
          <t>1</t>
        </is>
      </c>
      <c r="E72" t="inlineStr">
        <is>
          <t>Наличные</t>
        </is>
      </c>
    </row>
    <row r="73">
      <c r="A73" t="inlineStr">
        <is>
          <t>2024-10-15 17:59:35.030734</t>
        </is>
      </c>
      <c r="B73" t="inlineStr">
        <is>
          <t>4b5016ea-81a5-4ba4-97c2-5ff98123bac3</t>
        </is>
      </c>
      <c r="C73" t="inlineStr">
        <is>
          <t>408.4</t>
        </is>
      </c>
      <c r="D73" t="inlineStr">
        <is>
          <t>5</t>
        </is>
      </c>
      <c r="E73" t="inlineStr">
        <is>
          <t>Наличные</t>
        </is>
      </c>
    </row>
    <row r="74">
      <c r="A74" t="inlineStr">
        <is>
          <t>2024-12-08 17:52:07.312034</t>
        </is>
      </c>
      <c r="B74" t="inlineStr">
        <is>
          <t>50c6dd4f-70f2-4ec1-a80c-0fc0069f08c2</t>
        </is>
      </c>
      <c r="C74" t="inlineStr">
        <is>
          <t>960.7</t>
        </is>
      </c>
      <c r="D74" t="inlineStr">
        <is>
          <t>5</t>
        </is>
      </c>
      <c r="E74" t="inlineStr">
        <is>
          <t>Qr-код</t>
        </is>
      </c>
    </row>
    <row r="75">
      <c r="A75" t="inlineStr">
        <is>
          <t>2025-03-09 19:24:05.358251</t>
        </is>
      </c>
      <c r="B75" t="inlineStr">
        <is>
          <t>d27ea808-ee98-4fd0-b867-b5a4a0576c68</t>
        </is>
      </c>
      <c r="C75" t="inlineStr">
        <is>
          <t>648.92</t>
        </is>
      </c>
      <c r="D75" t="inlineStr">
        <is>
          <t>4</t>
        </is>
      </c>
      <c r="E75" t="inlineStr">
        <is>
          <t>Qr-код</t>
        </is>
      </c>
    </row>
    <row r="76">
      <c r="A76" t="inlineStr">
        <is>
          <t>2024-11-25 20:24:50.369443</t>
        </is>
      </c>
      <c r="B76" t="inlineStr">
        <is>
          <t>afeeb9f2-2b7c-45c9-a063-b4a0d44dbb48</t>
        </is>
      </c>
      <c r="C76" t="inlineStr">
        <is>
          <t>631.56</t>
        </is>
      </c>
      <c r="D76" t="inlineStr">
        <is>
          <t>4</t>
        </is>
      </c>
      <c r="E76" t="inlineStr">
        <is>
          <t>Карта</t>
        </is>
      </c>
    </row>
    <row r="77">
      <c r="A77" t="inlineStr">
        <is>
          <t>2024-12-10 16:22:06.715874</t>
        </is>
      </c>
      <c r="B77" t="inlineStr">
        <is>
          <t>341529cf-dffb-4813-9c77-76f39f4445c7</t>
        </is>
      </c>
      <c r="C77" t="inlineStr">
        <is>
          <t>907.45</t>
        </is>
      </c>
      <c r="D77" t="inlineStr">
        <is>
          <t>5</t>
        </is>
      </c>
      <c r="E77" t="inlineStr">
        <is>
          <t>Карта</t>
        </is>
      </c>
    </row>
    <row r="78">
      <c r="A78" t="inlineStr">
        <is>
          <t>2024-07-31 23:44:44.176632</t>
        </is>
      </c>
      <c r="B78" t="inlineStr">
        <is>
          <t>bb2999ed-c6ae-4172-9343-60b1d1b7bd1f</t>
        </is>
      </c>
      <c r="C78" t="inlineStr">
        <is>
          <t>311.74</t>
        </is>
      </c>
      <c r="D78" t="inlineStr">
        <is>
          <t>2</t>
        </is>
      </c>
      <c r="E78" t="inlineStr">
        <is>
          <t>Наличные</t>
        </is>
      </c>
    </row>
    <row r="79">
      <c r="A79" t="inlineStr">
        <is>
          <t>2025-02-18 08:51:28.609391</t>
        </is>
      </c>
      <c r="B79" t="inlineStr">
        <is>
          <t>e4cb82db-3355-4fef-b410-fab99949cb04</t>
        </is>
      </c>
      <c r="C79" t="inlineStr">
        <is>
          <t>37.4</t>
        </is>
      </c>
      <c r="D79" t="inlineStr">
        <is>
          <t>1</t>
        </is>
      </c>
      <c r="E79" t="inlineStr">
        <is>
          <t>Qr-код</t>
        </is>
      </c>
    </row>
    <row r="80">
      <c r="A80" t="inlineStr">
        <is>
          <t>2025-01-13 05:18:56.842342</t>
        </is>
      </c>
      <c r="B80" t="inlineStr">
        <is>
          <t>396555b4-40d3-4917-9af1-2f43ba499d89</t>
        </is>
      </c>
      <c r="C80" t="inlineStr">
        <is>
          <t>129.72</t>
        </is>
      </c>
      <c r="D80" t="inlineStr">
        <is>
          <t>4</t>
        </is>
      </c>
      <c r="E80" t="inlineStr">
        <is>
          <t>Карта</t>
        </is>
      </c>
    </row>
    <row r="81">
      <c r="A81" t="inlineStr">
        <is>
          <t>2025-03-28 20:39:06.965580</t>
        </is>
      </c>
      <c r="B81" t="inlineStr">
        <is>
          <t>140d8dfd-14d6-46bd-a8a0-845d54d3df3e</t>
        </is>
      </c>
      <c r="C81" t="inlineStr">
        <is>
          <t>191.58</t>
        </is>
      </c>
      <c r="D81" t="inlineStr">
        <is>
          <t>2</t>
        </is>
      </c>
      <c r="E81" t="inlineStr">
        <is>
          <t>Карта</t>
        </is>
      </c>
    </row>
    <row r="82">
      <c r="A82" t="inlineStr">
        <is>
          <t>2024-08-27 09:30:57.643278</t>
        </is>
      </c>
      <c r="B82" t="inlineStr">
        <is>
          <t>224cdcde-36ee-45da-9ae5-2588df8f96fb</t>
        </is>
      </c>
      <c r="C82" t="inlineStr">
        <is>
          <t>205.71</t>
        </is>
      </c>
      <c r="D82" t="inlineStr">
        <is>
          <t>3</t>
        </is>
      </c>
      <c r="E82" t="inlineStr">
        <is>
          <t>Наличные</t>
        </is>
      </c>
    </row>
    <row r="83">
      <c r="A83" t="inlineStr">
        <is>
          <t>2024-10-12 08:11:21.941615</t>
        </is>
      </c>
      <c r="B83" t="inlineStr">
        <is>
          <t>1dd986b1-4f40-4db2-9dfe-5c1565cfd754</t>
        </is>
      </c>
      <c r="C83" t="inlineStr">
        <is>
          <t>718.9</t>
        </is>
      </c>
      <c r="D83" t="inlineStr">
        <is>
          <t>5</t>
        </is>
      </c>
      <c r="E83" t="inlineStr">
        <is>
          <t>Наличные</t>
        </is>
      </c>
    </row>
    <row r="84">
      <c r="A84" t="inlineStr">
        <is>
          <t>2024-09-06 10:54:44.366320</t>
        </is>
      </c>
      <c r="B84" t="inlineStr">
        <is>
          <t>8a12f87f-7b45-4a03-bc7a-69e5fbccbc5a</t>
        </is>
      </c>
      <c r="C84" t="inlineStr">
        <is>
          <t>326.96</t>
        </is>
      </c>
      <c r="D84" t="inlineStr">
        <is>
          <t>4</t>
        </is>
      </c>
      <c r="E84" t="inlineStr">
        <is>
          <t>Наличные</t>
        </is>
      </c>
    </row>
    <row r="85">
      <c r="A85" t="inlineStr">
        <is>
          <t>2024-06-16 04:10:11.992705</t>
        </is>
      </c>
      <c r="B85" t="inlineStr">
        <is>
          <t>4b5016ea-81a5-4ba4-97c2-5ff98123bac3</t>
        </is>
      </c>
      <c r="C85" t="inlineStr">
        <is>
          <t>81.68</t>
        </is>
      </c>
      <c r="D85" t="inlineStr">
        <is>
          <t>1</t>
        </is>
      </c>
      <c r="E85" t="inlineStr">
        <is>
          <t>Карта</t>
        </is>
      </c>
    </row>
    <row r="86">
      <c r="A86" t="inlineStr">
        <is>
          <t>2024-06-18 14:58:25.624050</t>
        </is>
      </c>
      <c r="B86" t="inlineStr">
        <is>
          <t>c3737840-6332-4bc6-b5bc-80f92f074f58</t>
        </is>
      </c>
      <c r="C86" t="inlineStr">
        <is>
          <t>373.53</t>
        </is>
      </c>
      <c r="D86" t="inlineStr">
        <is>
          <t>3</t>
        </is>
      </c>
      <c r="E86" t="inlineStr">
        <is>
          <t>Наличные</t>
        </is>
      </c>
    </row>
    <row r="87">
      <c r="A87" t="inlineStr">
        <is>
          <t>2024-08-15 15:31:43.808681</t>
        </is>
      </c>
      <c r="B87" t="inlineStr">
        <is>
          <t>3f9de4b4-8188-4bd9-8a98-55c4b27af3a9</t>
        </is>
      </c>
      <c r="C87" t="inlineStr">
        <is>
          <t>317.92</t>
        </is>
      </c>
      <c r="D87" t="inlineStr">
        <is>
          <t>4</t>
        </is>
      </c>
      <c r="E87" t="inlineStr">
        <is>
          <t>Карта</t>
        </is>
      </c>
    </row>
    <row r="88">
      <c r="A88" t="inlineStr">
        <is>
          <t>2024-10-29 19:13:41.601806</t>
        </is>
      </c>
      <c r="B88" t="inlineStr">
        <is>
          <t>069d1026-82b5-4365-8481-1b38fe50307c</t>
        </is>
      </c>
      <c r="C88" t="inlineStr">
        <is>
          <t>420.8</t>
        </is>
      </c>
      <c r="D88" t="inlineStr">
        <is>
          <t>4</t>
        </is>
      </c>
      <c r="E88" t="inlineStr">
        <is>
          <t>Qr-код</t>
        </is>
      </c>
    </row>
    <row r="89">
      <c r="A89" t="inlineStr">
        <is>
          <t>2024-06-07 03:48:28.066248</t>
        </is>
      </c>
      <c r="B89" t="inlineStr">
        <is>
          <t>341529cf-dffb-4813-9c77-76f39f4445c7</t>
        </is>
      </c>
      <c r="C89" t="inlineStr">
        <is>
          <t>544.47</t>
        </is>
      </c>
      <c r="D89" t="inlineStr">
        <is>
          <t>3</t>
        </is>
      </c>
      <c r="E89" t="inlineStr">
        <is>
          <t>Карта</t>
        </is>
      </c>
    </row>
    <row r="90">
      <c r="A90" t="inlineStr">
        <is>
          <t>2024-04-19 00:54:32.755872</t>
        </is>
      </c>
      <c r="B90" t="inlineStr">
        <is>
          <t>341529cf-dffb-4813-9c77-76f39f4445c7</t>
        </is>
      </c>
      <c r="C90" t="inlineStr">
        <is>
          <t>907.45</t>
        </is>
      </c>
      <c r="D90" t="inlineStr">
        <is>
          <t>5</t>
        </is>
      </c>
      <c r="E90" t="inlineStr">
        <is>
          <t>Карта</t>
        </is>
      </c>
    </row>
    <row r="91">
      <c r="A91" t="inlineStr">
        <is>
          <t>2024-09-28 17:54:45.338239</t>
        </is>
      </c>
      <c r="B91" t="inlineStr">
        <is>
          <t>e9aa2886-0ba0-4b7a-96dc-078855f99872</t>
        </is>
      </c>
      <c r="C91" t="inlineStr">
        <is>
          <t>558.2</t>
        </is>
      </c>
      <c r="D91" t="inlineStr">
        <is>
          <t>4</t>
        </is>
      </c>
      <c r="E91" t="inlineStr">
        <is>
          <t>Qr-код</t>
        </is>
      </c>
    </row>
    <row r="92">
      <c r="A92" t="inlineStr">
        <is>
          <t>2024-06-26 02:37:21.648069</t>
        </is>
      </c>
      <c r="B92" t="inlineStr">
        <is>
          <t>8b889b5b-7567-45fa-97c9-09e56237d033</t>
        </is>
      </c>
      <c r="C92" t="inlineStr">
        <is>
          <t>527.25</t>
        </is>
      </c>
      <c r="D92" t="inlineStr">
        <is>
          <t>3</t>
        </is>
      </c>
      <c r="E92" t="inlineStr">
        <is>
          <t>Qr-код</t>
        </is>
      </c>
    </row>
    <row r="93">
      <c r="A93" t="inlineStr">
        <is>
          <t>2024-05-07 21:00:02.424966</t>
        </is>
      </c>
      <c r="B93" t="inlineStr">
        <is>
          <t>e8c1eb57-f3f2-48ad-b65f-b3cb39617849</t>
        </is>
      </c>
      <c r="C93" t="inlineStr">
        <is>
          <t>543.84</t>
        </is>
      </c>
      <c r="D93" t="inlineStr">
        <is>
          <t>3</t>
        </is>
      </c>
      <c r="E93" t="inlineStr">
        <is>
          <t>Qr-код</t>
        </is>
      </c>
    </row>
    <row r="94">
      <c r="A94" t="inlineStr">
        <is>
          <t>2024-08-12 04:22:55.361686</t>
        </is>
      </c>
      <c r="B94" t="inlineStr">
        <is>
          <t>2efef2da-8a8c-4d2f-bfea-0816d6b67303</t>
        </is>
      </c>
      <c r="C94" t="inlineStr">
        <is>
          <t>599.49</t>
        </is>
      </c>
      <c r="D94" t="inlineStr">
        <is>
          <t>3</t>
        </is>
      </c>
      <c r="E94" t="inlineStr">
        <is>
          <t>Наличные</t>
        </is>
      </c>
    </row>
    <row r="95">
      <c r="A95" t="inlineStr">
        <is>
          <t>2024-11-05 08:17:02.831454</t>
        </is>
      </c>
      <c r="B95" t="inlineStr">
        <is>
          <t>31995494-84d0-4cc8-8765-df869685e234</t>
        </is>
      </c>
      <c r="C95" t="inlineStr">
        <is>
          <t>75.77</t>
        </is>
      </c>
      <c r="D95" t="inlineStr">
        <is>
          <t>1</t>
        </is>
      </c>
      <c r="E95" t="inlineStr">
        <is>
          <t>Карта</t>
        </is>
      </c>
    </row>
    <row r="96">
      <c r="A96" t="inlineStr">
        <is>
          <t>2024-10-21 17:18:19.069561</t>
        </is>
      </c>
      <c r="B96" t="inlineStr">
        <is>
          <t>b4f5fdc1-498b-4830-bb04-c3625a94d146</t>
        </is>
      </c>
      <c r="C96" t="inlineStr">
        <is>
          <t>717.2</t>
        </is>
      </c>
      <c r="D96" t="inlineStr">
        <is>
          <t>4</t>
        </is>
      </c>
      <c r="E96" t="inlineStr">
        <is>
          <t>Qr-код</t>
        </is>
      </c>
    </row>
    <row r="97">
      <c r="A97" t="inlineStr">
        <is>
          <t>2025-03-19 07:08:17.751003</t>
        </is>
      </c>
      <c r="B97" t="inlineStr">
        <is>
          <t>2d79e75e-c6b8-4138-8c0c-403325bf6944</t>
        </is>
      </c>
      <c r="C97" t="inlineStr">
        <is>
          <t>374.36</t>
        </is>
      </c>
      <c r="D97" t="inlineStr">
        <is>
          <t>4</t>
        </is>
      </c>
      <c r="E97" t="inlineStr">
        <is>
          <t>Карта</t>
        </is>
      </c>
    </row>
    <row r="98">
      <c r="A98" t="inlineStr">
        <is>
          <t>2024-11-07 17:31:26.241593</t>
        </is>
      </c>
      <c r="B98" t="inlineStr">
        <is>
          <t>5f1e4f5c-553b-4053-a26e-ed899ccfa7e0</t>
        </is>
      </c>
      <c r="C98" t="inlineStr">
        <is>
          <t>445.9</t>
        </is>
      </c>
      <c r="D98" t="inlineStr">
        <is>
          <t>5</t>
        </is>
      </c>
      <c r="E98" t="inlineStr">
        <is>
          <t>Карта</t>
        </is>
      </c>
    </row>
    <row r="99">
      <c r="A99" t="inlineStr">
        <is>
          <t>2024-10-21 12:02:45.273196</t>
        </is>
      </c>
      <c r="B99" t="inlineStr">
        <is>
          <t>1dd986b1-4f40-4db2-9dfe-5c1565cfd754</t>
        </is>
      </c>
      <c r="C99" t="inlineStr">
        <is>
          <t>718.9</t>
        </is>
      </c>
      <c r="D99" t="inlineStr">
        <is>
          <t>5</t>
        </is>
      </c>
      <c r="E99" t="inlineStr">
        <is>
          <t>Qr-код</t>
        </is>
      </c>
    </row>
    <row r="100">
      <c r="A100" t="inlineStr">
        <is>
          <t>2024-07-19 16:53:14.940316</t>
        </is>
      </c>
      <c r="B100" t="inlineStr">
        <is>
          <t>50c6dd4f-70f2-4ec1-a80c-0fc0069f08c2</t>
        </is>
      </c>
      <c r="C100" t="inlineStr">
        <is>
          <t>384.28</t>
        </is>
      </c>
      <c r="D100" t="inlineStr">
        <is>
          <t>2</t>
        </is>
      </c>
      <c r="E100" t="inlineStr">
        <is>
          <t>Qr-код</t>
        </is>
      </c>
    </row>
    <row r="101">
      <c r="A101" t="inlineStr">
        <is>
          <t>2025-02-16 15:07:41.196039</t>
        </is>
      </c>
      <c r="B101" t="inlineStr">
        <is>
          <t>31995494-84d0-4cc8-8765-df869685e234</t>
        </is>
      </c>
      <c r="C101" t="inlineStr">
        <is>
          <t>227.31</t>
        </is>
      </c>
      <c r="D101" t="inlineStr">
        <is>
          <t>3</t>
        </is>
      </c>
      <c r="E101" t="inlineStr">
        <is>
          <t>Карта</t>
        </is>
      </c>
    </row>
  </sheetData>
  <autoFilter ref="A1:E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38" customWidth="1" min="3" max="3"/>
    <col width="31" customWidth="1" min="4" max="4"/>
    <col width="37" customWidth="1" min="5" max="5"/>
  </cols>
  <sheetData>
    <row r="1">
      <c r="A1" s="2" t="inlineStr">
        <is>
          <t>date_excel</t>
        </is>
      </c>
      <c r="B1" s="2" t="inlineStr">
        <is>
          <t>issues_found</t>
        </is>
      </c>
      <c r="C1" s="2" t="inlineStr">
        <is>
          <t>vending_machine_id</t>
        </is>
      </c>
      <c r="D1" s="2" t="inlineStr">
        <is>
          <t>full_name</t>
        </is>
      </c>
      <c r="E1" s="2" t="inlineStr">
        <is>
          <t>work_description</t>
        </is>
      </c>
    </row>
    <row r="2">
      <c r="A2" s="3" t="n">
        <v>45548.69726793982</v>
      </c>
      <c r="B2" t="inlineStr">
        <is>
          <t>Зависла сессия оплаты</t>
        </is>
      </c>
      <c r="C2" t="inlineStr">
        <is>
          <t>a977e322-192c-4567-9f5f-36f504bfc13d</t>
        </is>
      </c>
      <c r="D2" t="inlineStr">
        <is>
          <t>Новиков Ипполит Власович</t>
        </is>
      </c>
      <c r="E2" t="inlineStr">
        <is>
          <t>Замена дисплея</t>
        </is>
      </c>
    </row>
    <row r="3">
      <c r="A3" s="3" t="n">
        <v>45407.29107195602</v>
      </c>
      <c r="B3" t="inlineStr">
        <is>
          <t>Проблемы с термобумагой</t>
        </is>
      </c>
      <c r="C3" t="inlineStr">
        <is>
          <t>e1d62e6a-5427-4dda-8209-bb584bfbc9e5</t>
        </is>
      </c>
      <c r="D3" t="inlineStr">
        <is>
          <t>Новиков Ипполит Власович</t>
        </is>
      </c>
      <c r="E3" t="inlineStr">
        <is>
          <t>Чистка внутренних узлов</t>
        </is>
      </c>
    </row>
    <row r="4">
      <c r="A4" s="3" t="n">
        <v>45485.79441146991</v>
      </c>
      <c r="B4" t="inlineStr">
        <is>
          <t>Проблемы с термобумагой</t>
        </is>
      </c>
      <c r="C4" t="inlineStr">
        <is>
          <t>0a9a91bf-0fcc-44ac-b3c2-88a33411413a</t>
        </is>
      </c>
      <c r="D4" t="inlineStr">
        <is>
          <t>Воробьева Таисия Альбертовна</t>
        </is>
      </c>
      <c r="E4" t="inlineStr">
        <is>
          <t>Ремонт купюроприемника</t>
        </is>
      </c>
    </row>
    <row r="5">
      <c r="A5" s="3" t="n">
        <v>45407.71841153935</v>
      </c>
      <c r="B5" t="inlineStr">
        <is>
          <t>Не закрывается люк обслуживания</t>
        </is>
      </c>
      <c r="C5" t="inlineStr">
        <is>
          <t>0a9a91bf-0fcc-44ac-b3c2-88a33411413a</t>
        </is>
      </c>
      <c r="D5" t="inlineStr">
        <is>
          <t>Воробьева Таисия Альбертовна</t>
        </is>
      </c>
      <c r="E5" t="inlineStr">
        <is>
          <t>Загрузка новой товарной матрицы</t>
        </is>
      </c>
    </row>
    <row r="6">
      <c r="A6" s="3" t="n">
        <v>45467.87790872685</v>
      </c>
      <c r="B6" t="inlineStr">
        <is>
          <t>Не закрывается люк обслуживания</t>
        </is>
      </c>
      <c r="C6" t="inlineStr">
        <is>
          <t>166c8a3f-a211-4d25-b2d4-a5b0b5f067d5</t>
        </is>
      </c>
      <c r="D6" t="inlineStr">
        <is>
          <t>Новиков Ипполит Власович</t>
        </is>
      </c>
      <c r="E6" t="inlineStr">
        <is>
          <t>Замена модема</t>
        </is>
      </c>
    </row>
    <row r="7">
      <c r="A7" s="3" t="n">
        <v>45658.51372376157</v>
      </c>
      <c r="B7" t="inlineStr">
        <is>
          <t>Зависла сессия оплаты</t>
        </is>
      </c>
      <c r="C7" t="inlineStr">
        <is>
          <t>4daae871-71ac-44da-8b58-dcf1a2ae907a</t>
        </is>
      </c>
      <c r="D7" t="inlineStr">
        <is>
          <t>Воробьева Таисия Альбертовна</t>
        </is>
      </c>
      <c r="E7" t="inlineStr">
        <is>
          <t>Загрузка новой товарной матрицы</t>
        </is>
      </c>
    </row>
    <row r="8">
      <c r="A8" s="3" t="n">
        <v>45514.54543986111</v>
      </c>
      <c r="B8" t="inlineStr">
        <is>
          <t>Не закрывается люк обслуживания</t>
        </is>
      </c>
      <c r="C8" t="inlineStr">
        <is>
          <t>70f22c9f-de0a-41a9-9a53-cabf42688d47</t>
        </is>
      </c>
      <c r="D8" t="inlineStr">
        <is>
          <t>Новиков Ипполит Власович</t>
        </is>
      </c>
      <c r="E8" t="inlineStr">
        <is>
          <t>Пополнение товара</t>
        </is>
      </c>
    </row>
    <row r="9">
      <c r="A9" s="3" t="n">
        <v>45436.73267569445</v>
      </c>
      <c r="B9" t="inlineStr">
        <is>
          <t>Ошибка дисплея</t>
        </is>
      </c>
      <c r="C9" t="inlineStr">
        <is>
          <t>53e2ec2e-d407-4e9a-a1d9-5a9501e81ede</t>
        </is>
      </c>
      <c r="D9" t="inlineStr">
        <is>
          <t>Никонова Олимпиада Леонидовна</t>
        </is>
      </c>
      <c r="E9" t="inlineStr">
        <is>
          <t>Замена дисплея</t>
        </is>
      </c>
    </row>
    <row r="10">
      <c r="A10" s="3" t="n">
        <v>45727.14810133102</v>
      </c>
      <c r="B10" t="inlineStr">
        <is>
          <t>Протечка в отсеке с напитками</t>
        </is>
      </c>
      <c r="C10" t="inlineStr">
        <is>
          <t>166c8a3f-a211-4d25-b2d4-a5b0b5f067d5</t>
        </is>
      </c>
      <c r="D10" t="inlineStr">
        <is>
          <t>Новиков Ипполит Власович</t>
        </is>
      </c>
      <c r="E10" t="inlineStr">
        <is>
          <t>Настройка сетевого соединения</t>
        </is>
      </c>
    </row>
    <row r="11">
      <c r="A11" s="3" t="n">
        <v>45703.66333319445</v>
      </c>
      <c r="B11" t="inlineStr">
        <is>
          <t>Сбой системы оплаты</t>
        </is>
      </c>
      <c r="C11" t="inlineStr">
        <is>
          <t>dc92a945-80cf-4c86-8927-97026c6e82da</t>
        </is>
      </c>
      <c r="D11" t="inlineStr">
        <is>
          <t>Воробьева Таисия Альбертовна</t>
        </is>
      </c>
      <c r="E11" t="inlineStr">
        <is>
          <t>Чистка внутренних узлов</t>
        </is>
      </c>
    </row>
    <row r="12">
      <c r="A12" s="3" t="n">
        <v>45404.41919087963</v>
      </c>
      <c r="B12" t="inlineStr">
        <is>
          <t>Зависла сессия оплаты</t>
        </is>
      </c>
      <c r="C12" t="inlineStr">
        <is>
          <t>166c8a3f-a211-4d25-b2d4-a5b0b5f067d5</t>
        </is>
      </c>
      <c r="D12" t="inlineStr">
        <is>
          <t>Новиков Ипполит Власович</t>
        </is>
      </c>
      <c r="E12" t="inlineStr">
        <is>
          <t>Обновление программного обеспечения</t>
        </is>
      </c>
    </row>
    <row r="13">
      <c r="A13" s="3" t="n">
        <v>45650.46263017361</v>
      </c>
      <c r="C13" t="inlineStr">
        <is>
          <t>7ed68dd4-ef8b-4124-9084-bc16ee8f10d3</t>
        </is>
      </c>
      <c r="D13" t="inlineStr">
        <is>
          <t>Воробьева Таисия Альбертовна</t>
        </is>
      </c>
      <c r="E13" t="inlineStr">
        <is>
          <t>Проверка телеметрии</t>
        </is>
      </c>
    </row>
    <row r="14">
      <c r="A14" s="3" t="n">
        <v>45569.45450075231</v>
      </c>
      <c r="B14" t="inlineStr">
        <is>
          <t>Зависла сессия оплаты</t>
        </is>
      </c>
      <c r="C14" t="inlineStr">
        <is>
          <t>166c8a3f-a211-4d25-b2d4-a5b0b5f067d5</t>
        </is>
      </c>
      <c r="D14" t="inlineStr">
        <is>
          <t>Новиков Ипполит Власович</t>
        </is>
      </c>
      <c r="E14" t="inlineStr">
        <is>
          <t>Замена дисплея</t>
        </is>
      </c>
    </row>
    <row r="15">
      <c r="A15" s="3" t="n">
        <v>45700.51460925926</v>
      </c>
      <c r="B15" t="inlineStr">
        <is>
          <t>Не работает модем</t>
        </is>
      </c>
      <c r="C15" t="inlineStr">
        <is>
          <t>89c05e76-6b7e-4d72-b97c-62ecb96b1370</t>
        </is>
      </c>
      <c r="D15" t="inlineStr">
        <is>
          <t>Новиков Ипполит Власович</t>
        </is>
      </c>
      <c r="E15" t="inlineStr">
        <is>
          <t>Обновление программного обеспечения</t>
        </is>
      </c>
    </row>
    <row r="16">
      <c r="A16" s="3" t="n">
        <v>45455.28161789352</v>
      </c>
      <c r="B16" t="inlineStr">
        <is>
          <t>Зависла сессия оплаты</t>
        </is>
      </c>
      <c r="C16" t="inlineStr">
        <is>
          <t>53e2ec2e-d407-4e9a-a1d9-5a9501e81ede</t>
        </is>
      </c>
      <c r="D16" t="inlineStr">
        <is>
          <t>Никонова Олимпиада Леонидовна</t>
        </is>
      </c>
      <c r="E16" t="inlineStr">
        <is>
          <t>Настройка сетевого соединения</t>
        </is>
      </c>
    </row>
    <row r="17">
      <c r="A17" s="3" t="n">
        <v>45510.49984392361</v>
      </c>
      <c r="B17" t="inlineStr">
        <is>
          <t>Не работает модем</t>
        </is>
      </c>
      <c r="C17" t="inlineStr">
        <is>
          <t>e1d62e6a-5427-4dda-8209-bb584bfbc9e5</t>
        </is>
      </c>
      <c r="D17" t="inlineStr">
        <is>
          <t>Новиков Ипполит Власович</t>
        </is>
      </c>
      <c r="E17" t="inlineStr">
        <is>
          <t>Перезагрузка системы</t>
        </is>
      </c>
    </row>
    <row r="18">
      <c r="A18" s="3" t="n">
        <v>45645.21154217592</v>
      </c>
      <c r="C18" t="inlineStr">
        <is>
          <t>4daae871-71ac-44da-8b58-dcf1a2ae907a</t>
        </is>
      </c>
      <c r="D18" t="inlineStr">
        <is>
          <t>Воробьева Таисия Альбертовна</t>
        </is>
      </c>
      <c r="E18" t="inlineStr">
        <is>
          <t>Замена модема</t>
        </is>
      </c>
    </row>
    <row r="19">
      <c r="A19" s="3" t="n">
        <v>45619.15062177083</v>
      </c>
      <c r="B19" t="inlineStr">
        <is>
          <t>Протечка в отсеке с напитками</t>
        </is>
      </c>
      <c r="C19" t="inlineStr">
        <is>
          <t>70f22c9f-de0a-41a9-9a53-cabf42688d47</t>
        </is>
      </c>
      <c r="D19" t="inlineStr">
        <is>
          <t>Новиков Ипполит Власович</t>
        </is>
      </c>
      <c r="E19" t="inlineStr">
        <is>
          <t>Обновление программного обеспечения</t>
        </is>
      </c>
    </row>
    <row r="20">
      <c r="A20" s="3" t="n">
        <v>45742.88780144676</v>
      </c>
      <c r="B20" t="inlineStr">
        <is>
          <t>Аппарат не выдает товар</t>
        </is>
      </c>
      <c r="C20" t="inlineStr">
        <is>
          <t>4daae871-71ac-44da-8b58-dcf1a2ae907a</t>
        </is>
      </c>
      <c r="D20" t="inlineStr">
        <is>
          <t>Воробьева Таисия Альбертовна</t>
        </is>
      </c>
      <c r="E20" t="inlineStr">
        <is>
          <t>Пополнение товара</t>
        </is>
      </c>
    </row>
    <row r="21">
      <c r="A21" s="3" t="n">
        <v>45691.0845500463</v>
      </c>
      <c r="B21" t="inlineStr">
        <is>
          <t>Проблемы с термобумагой</t>
        </is>
      </c>
      <c r="C21" t="inlineStr">
        <is>
          <t>a977e322-192c-4567-9f5f-36f504bfc13d</t>
        </is>
      </c>
      <c r="D21" t="inlineStr">
        <is>
          <t>Новиков Ипполит Власович</t>
        </is>
      </c>
      <c r="E21" t="inlineStr">
        <is>
          <t>Ремонт купюроприемника</t>
        </is>
      </c>
    </row>
    <row r="22">
      <c r="A22" s="3" t="n">
        <v>45616.47876105324</v>
      </c>
      <c r="B22" t="inlineStr">
        <is>
          <t>Проблемы с термобумагой</t>
        </is>
      </c>
      <c r="C22" t="inlineStr">
        <is>
          <t>53e2ec2e-d407-4e9a-a1d9-5a9501e81ede</t>
        </is>
      </c>
      <c r="D22" t="inlineStr">
        <is>
          <t>Никонова Олимпиада Леонидовна</t>
        </is>
      </c>
      <c r="E22" t="inlineStr">
        <is>
          <t>Настройка сетевого соединения</t>
        </is>
      </c>
    </row>
    <row r="23">
      <c r="A23" s="3" t="n">
        <v>45643.50589645834</v>
      </c>
      <c r="B23" t="inlineStr">
        <is>
          <t>Не закрывается люк обслуживания</t>
        </is>
      </c>
      <c r="C23" t="inlineStr">
        <is>
          <t>dc92a945-80cf-4c86-8927-97026c6e82da</t>
        </is>
      </c>
      <c r="D23" t="inlineStr">
        <is>
          <t>Воробьева Таисия Альбертовна</t>
        </is>
      </c>
      <c r="E23" t="inlineStr">
        <is>
          <t>Чистка внутренних узлов</t>
        </is>
      </c>
    </row>
    <row r="24">
      <c r="A24" s="3" t="n">
        <v>45402.29599303241</v>
      </c>
      <c r="C24" t="inlineStr">
        <is>
          <t>a977e322-192c-4567-9f5f-36f504bfc13d</t>
        </is>
      </c>
      <c r="D24" t="inlineStr">
        <is>
          <t>Новиков Ипполит Власович</t>
        </is>
      </c>
      <c r="E24" t="inlineStr">
        <is>
          <t>Замена дисплея</t>
        </is>
      </c>
    </row>
    <row r="25">
      <c r="A25" s="3" t="n">
        <v>45654.65510359954</v>
      </c>
      <c r="B25" t="inlineStr">
        <is>
          <t>Аппарат не выдает товар</t>
        </is>
      </c>
      <c r="C25" t="inlineStr">
        <is>
          <t>53e2ec2e-d407-4e9a-a1d9-5a9501e81ede</t>
        </is>
      </c>
      <c r="D25" t="inlineStr">
        <is>
          <t>Никонова Олимпиада Леонидовна</t>
        </is>
      </c>
      <c r="E25" t="inlineStr">
        <is>
          <t>Замена дисплея</t>
        </is>
      </c>
    </row>
    <row r="26">
      <c r="A26" s="3" t="n">
        <v>45613.59372390046</v>
      </c>
      <c r="B26" t="inlineStr">
        <is>
          <t>Не работает модем</t>
        </is>
      </c>
      <c r="C26" t="inlineStr">
        <is>
          <t>4daae871-71ac-44da-8b58-dcf1a2ae907a</t>
        </is>
      </c>
      <c r="D26" t="inlineStr">
        <is>
          <t>Воробьева Таисия Альбертовна</t>
        </is>
      </c>
      <c r="E26" t="inlineStr">
        <is>
          <t>Настройка сетевого соединения</t>
        </is>
      </c>
    </row>
    <row r="27">
      <c r="A27" s="3" t="n">
        <v>45531.03762319445</v>
      </c>
      <c r="B27" t="inlineStr">
        <is>
          <t>Заклинил монетоприемник</t>
        </is>
      </c>
      <c r="C27" t="inlineStr">
        <is>
          <t>e1d62e6a-5427-4dda-8209-bb584bfbc9e5</t>
        </is>
      </c>
      <c r="D27" t="inlineStr">
        <is>
          <t>Новиков Ипполит Власович</t>
        </is>
      </c>
      <c r="E27" t="inlineStr">
        <is>
          <t>Проверка телеметрии</t>
        </is>
      </c>
    </row>
    <row r="28">
      <c r="A28" s="3" t="n">
        <v>45548.55675206018</v>
      </c>
      <c r="C28" t="inlineStr">
        <is>
          <t>0a9a91bf-0fcc-44ac-b3c2-88a33411413a</t>
        </is>
      </c>
      <c r="D28" t="inlineStr">
        <is>
          <t>Воробьева Таисия Альбертовна</t>
        </is>
      </c>
      <c r="E28" t="inlineStr">
        <is>
          <t>Замена дисплея</t>
        </is>
      </c>
    </row>
    <row r="29">
      <c r="A29" s="3" t="n">
        <v>45714.85162292824</v>
      </c>
      <c r="B29" t="inlineStr">
        <is>
          <t>Не работает модем</t>
        </is>
      </c>
      <c r="C29" t="inlineStr">
        <is>
          <t>70f22c9f-de0a-41a9-9a53-cabf42688d47</t>
        </is>
      </c>
      <c r="D29" t="inlineStr">
        <is>
          <t>Новиков Ипполит Власович</t>
        </is>
      </c>
      <c r="E29" t="inlineStr">
        <is>
          <t>Обновление программного обеспечения</t>
        </is>
      </c>
    </row>
    <row r="30">
      <c r="A30" s="3" t="n">
        <v>45595.62737578704</v>
      </c>
      <c r="B30" t="inlineStr">
        <is>
          <t>Повреждён корпус</t>
        </is>
      </c>
      <c r="C30" t="inlineStr">
        <is>
          <t>4daae871-71ac-44da-8b58-dcf1a2ae907a</t>
        </is>
      </c>
      <c r="D30" t="inlineStr">
        <is>
          <t>Воробьева Таисия Альбертовна</t>
        </is>
      </c>
      <c r="E30" t="inlineStr">
        <is>
          <t>Проверка телеметрии</t>
        </is>
      </c>
    </row>
    <row r="31">
      <c r="A31" s="3" t="n">
        <v>45550.57625150463</v>
      </c>
      <c r="B31" t="inlineStr">
        <is>
          <t>Не закрывается люк обслуживания</t>
        </is>
      </c>
      <c r="C31" t="inlineStr">
        <is>
          <t>4daae871-71ac-44da-8b58-dcf1a2ae907a</t>
        </is>
      </c>
      <c r="D31" t="inlineStr">
        <is>
          <t>Воробьева Таисия Альбертовна</t>
        </is>
      </c>
      <c r="E31" t="inlineStr">
        <is>
          <t>Пополнение товара</t>
        </is>
      </c>
    </row>
    <row r="32">
      <c r="A32" s="3" t="n">
        <v>45540.60792390046</v>
      </c>
      <c r="B32" t="inlineStr">
        <is>
          <t>Заклинил монетоприемник</t>
        </is>
      </c>
      <c r="C32" t="inlineStr">
        <is>
          <t>7ed68dd4-ef8b-4124-9084-bc16ee8f10d3</t>
        </is>
      </c>
      <c r="D32" t="inlineStr">
        <is>
          <t>Воробьева Таисия Альбертовна</t>
        </is>
      </c>
      <c r="E32" t="inlineStr">
        <is>
          <t>Загрузка новой товарной матрицы</t>
        </is>
      </c>
    </row>
    <row r="33">
      <c r="A33" s="3" t="n">
        <v>45676.93297171297</v>
      </c>
      <c r="B33" t="inlineStr">
        <is>
          <t>Заклинил монетоприемник</t>
        </is>
      </c>
      <c r="C33" t="inlineStr">
        <is>
          <t>4daae871-71ac-44da-8b58-dcf1a2ae907a</t>
        </is>
      </c>
      <c r="D33" t="inlineStr">
        <is>
          <t>Воробьева Таисия Альбертовна</t>
        </is>
      </c>
      <c r="E33" t="inlineStr">
        <is>
          <t>Замена модема</t>
        </is>
      </c>
    </row>
    <row r="34">
      <c r="A34" s="3" t="n">
        <v>45693.29341248843</v>
      </c>
      <c r="B34" t="inlineStr">
        <is>
          <t>Проблемы с термобумагой</t>
        </is>
      </c>
      <c r="C34" t="inlineStr">
        <is>
          <t>166c8a3f-a211-4d25-b2d4-a5b0b5f067d5</t>
        </is>
      </c>
      <c r="D34" t="inlineStr">
        <is>
          <t>Новиков Ипполит Власович</t>
        </is>
      </c>
      <c r="E34" t="inlineStr">
        <is>
          <t>Проверка телеметрии</t>
        </is>
      </c>
    </row>
    <row r="35">
      <c r="A35" s="3" t="n">
        <v>45533.78572138889</v>
      </c>
      <c r="B35" t="inlineStr">
        <is>
          <t>Не закрывается люк обслуживания</t>
        </is>
      </c>
      <c r="C35" t="inlineStr">
        <is>
          <t>53e2ec2e-d407-4e9a-a1d9-5a9501e81ede</t>
        </is>
      </c>
      <c r="D35" t="inlineStr">
        <is>
          <t>Никонова Олимпиада Леонидовна</t>
        </is>
      </c>
      <c r="E35" t="inlineStr">
        <is>
          <t>Ремонт купюроприемника</t>
        </is>
      </c>
    </row>
    <row r="36">
      <c r="A36" s="3" t="n">
        <v>45550.99058038194</v>
      </c>
      <c r="B36" t="inlineStr">
        <is>
          <t>Проблемы с термобумагой</t>
        </is>
      </c>
      <c r="C36" t="inlineStr">
        <is>
          <t>0a9a91bf-0fcc-44ac-b3c2-88a33411413a</t>
        </is>
      </c>
      <c r="D36" t="inlineStr">
        <is>
          <t>Воробьева Таисия Альбертовна</t>
        </is>
      </c>
      <c r="E36" t="inlineStr">
        <is>
          <t>Проверка телеметрии</t>
        </is>
      </c>
    </row>
    <row r="37">
      <c r="A37" s="3" t="n">
        <v>45609.66978782407</v>
      </c>
      <c r="B37" t="inlineStr">
        <is>
          <t>Не работает модем</t>
        </is>
      </c>
      <c r="C37" t="inlineStr">
        <is>
          <t>4daae871-71ac-44da-8b58-dcf1a2ae907a</t>
        </is>
      </c>
      <c r="D37" t="inlineStr">
        <is>
          <t>Воробьева Таисия Альбертовна</t>
        </is>
      </c>
      <c r="E37" t="inlineStr">
        <is>
          <t>Обновление программного обеспечения</t>
        </is>
      </c>
    </row>
    <row r="38">
      <c r="A38" s="3" t="n">
        <v>45450.23591972222</v>
      </c>
      <c r="B38" t="inlineStr">
        <is>
          <t>Не закрывается люк обслуживания</t>
        </is>
      </c>
      <c r="C38" t="inlineStr">
        <is>
          <t>7ed68dd4-ef8b-4124-9084-bc16ee8f10d3</t>
        </is>
      </c>
      <c r="D38" t="inlineStr">
        <is>
          <t>Воробьева Таисия Альбертовна</t>
        </is>
      </c>
      <c r="E38" t="inlineStr">
        <is>
          <t>Загрузка новой товарной матрицы</t>
        </is>
      </c>
    </row>
    <row r="39">
      <c r="A39" s="3" t="n">
        <v>45577.74914148148</v>
      </c>
      <c r="B39" t="inlineStr">
        <is>
          <t>Проблемы с термобумагой</t>
        </is>
      </c>
      <c r="C39" t="inlineStr">
        <is>
          <t>166c8a3f-a211-4d25-b2d4-a5b0b5f067d5</t>
        </is>
      </c>
      <c r="D39" t="inlineStr">
        <is>
          <t>Новиков Ипполит Власович</t>
        </is>
      </c>
      <c r="E39" t="inlineStr">
        <is>
          <t>Проверка телеметрии</t>
        </is>
      </c>
    </row>
    <row r="40">
      <c r="A40" s="3" t="n">
        <v>45510.47281575231</v>
      </c>
      <c r="B40" t="inlineStr">
        <is>
          <t>Проблемы с термобумагой</t>
        </is>
      </c>
      <c r="C40" t="inlineStr">
        <is>
          <t>dc92a945-80cf-4c86-8927-97026c6e82da</t>
        </is>
      </c>
      <c r="D40" t="inlineStr">
        <is>
          <t>Воробьева Таисия Альбертовна</t>
        </is>
      </c>
      <c r="E40" t="inlineStr">
        <is>
          <t>Пополнение товара</t>
        </is>
      </c>
    </row>
    <row r="41">
      <c r="A41" s="3" t="n">
        <v>45578.40269872685</v>
      </c>
      <c r="B41" t="inlineStr">
        <is>
          <t>Не работает модем</t>
        </is>
      </c>
      <c r="C41" t="inlineStr">
        <is>
          <t>a977e322-192c-4567-9f5f-36f504bfc13d</t>
        </is>
      </c>
      <c r="D41" t="inlineStr">
        <is>
          <t>Новиков Ипполит Власович</t>
        </is>
      </c>
      <c r="E41" t="inlineStr">
        <is>
          <t>Ремонт купюроприемника</t>
        </is>
      </c>
    </row>
    <row r="42">
      <c r="A42" s="3" t="n">
        <v>45554.26905371528</v>
      </c>
      <c r="B42" t="inlineStr">
        <is>
          <t>Не работает модем</t>
        </is>
      </c>
      <c r="C42" t="inlineStr">
        <is>
          <t>53e2ec2e-d407-4e9a-a1d9-5a9501e81ede</t>
        </is>
      </c>
      <c r="D42" t="inlineStr">
        <is>
          <t>Никонова Олимпиада Леонидовна</t>
        </is>
      </c>
      <c r="E42" t="inlineStr">
        <is>
          <t>Замена модема</t>
        </is>
      </c>
    </row>
    <row r="43">
      <c r="A43" s="3" t="n">
        <v>45623.31545262731</v>
      </c>
      <c r="B43" t="inlineStr">
        <is>
          <t>Сбой системы оплаты</t>
        </is>
      </c>
      <c r="C43" t="inlineStr">
        <is>
          <t>0a9a91bf-0fcc-44ac-b3c2-88a33411413a</t>
        </is>
      </c>
      <c r="D43" t="inlineStr">
        <is>
          <t>Воробьева Таисия Альбертовна</t>
        </is>
      </c>
      <c r="E43" t="inlineStr">
        <is>
          <t>Перезагрузка системы</t>
        </is>
      </c>
    </row>
    <row r="44">
      <c r="A44" s="3" t="n">
        <v>45727.34389866898</v>
      </c>
      <c r="B44" t="inlineStr">
        <is>
          <t>Проблемы с термобумагой</t>
        </is>
      </c>
      <c r="C44" t="inlineStr">
        <is>
          <t>0a9a91bf-0fcc-44ac-b3c2-88a33411413a</t>
        </is>
      </c>
      <c r="D44" t="inlineStr">
        <is>
          <t>Воробьева Таисия Альбертовна</t>
        </is>
      </c>
      <c r="E44" t="inlineStr">
        <is>
          <t>Чистка внутренних узлов</t>
        </is>
      </c>
    </row>
    <row r="45">
      <c r="A45" s="3" t="n">
        <v>45411.19134445602</v>
      </c>
      <c r="B45" t="inlineStr">
        <is>
          <t>Не работает модем</t>
        </is>
      </c>
      <c r="C45" t="inlineStr">
        <is>
          <t>0a9a91bf-0fcc-44ac-b3c2-88a33411413a</t>
        </is>
      </c>
      <c r="D45" t="inlineStr">
        <is>
          <t>Воробьева Таисия Альбертовна</t>
        </is>
      </c>
      <c r="E45" t="inlineStr">
        <is>
          <t>Обновление программного обеспечения</t>
        </is>
      </c>
    </row>
    <row r="46">
      <c r="A46" s="3" t="n">
        <v>45517.18269488426</v>
      </c>
      <c r="B46" t="inlineStr">
        <is>
          <t>Ошибка дисплея</t>
        </is>
      </c>
      <c r="C46" t="inlineStr">
        <is>
          <t>dc92a945-80cf-4c86-8927-97026c6e82da</t>
        </is>
      </c>
      <c r="D46" t="inlineStr">
        <is>
          <t>Воробьева Таисия Альбертовна</t>
        </is>
      </c>
      <c r="E46" t="inlineStr">
        <is>
          <t>Перезагрузка системы</t>
        </is>
      </c>
    </row>
    <row r="47">
      <c r="A47" s="3" t="n">
        <v>45595.3471012037</v>
      </c>
      <c r="B47" t="inlineStr">
        <is>
          <t>Не работает модем</t>
        </is>
      </c>
      <c r="C47" t="inlineStr">
        <is>
          <t>dc92a945-80cf-4c86-8927-97026c6e82da</t>
        </is>
      </c>
      <c r="D47" t="inlineStr">
        <is>
          <t>Воробьева Таисия Альбертовна</t>
        </is>
      </c>
      <c r="E47" t="inlineStr">
        <is>
          <t>Чистка внутренних узлов</t>
        </is>
      </c>
    </row>
    <row r="48">
      <c r="A48" s="3" t="n">
        <v>45626.86434334491</v>
      </c>
      <c r="B48" t="inlineStr">
        <is>
          <t>Аппарат не выдает товар</t>
        </is>
      </c>
      <c r="C48" t="inlineStr">
        <is>
          <t>dc92a945-80cf-4c86-8927-97026c6e82da</t>
        </is>
      </c>
      <c r="D48" t="inlineStr">
        <is>
          <t>Воробьева Таисия Альбертовна</t>
        </is>
      </c>
      <c r="E48" t="inlineStr">
        <is>
          <t>Проверка телеметрии</t>
        </is>
      </c>
    </row>
    <row r="49">
      <c r="A49" s="3" t="n">
        <v>45592.91613848379</v>
      </c>
      <c r="B49" t="inlineStr">
        <is>
          <t>Протечка в отсеке с напитками</t>
        </is>
      </c>
      <c r="C49" t="inlineStr">
        <is>
          <t>166c8a3f-a211-4d25-b2d4-a5b0b5f067d5</t>
        </is>
      </c>
      <c r="D49" t="inlineStr">
        <is>
          <t>Новиков Ипполит Власович</t>
        </is>
      </c>
      <c r="E49" t="inlineStr">
        <is>
          <t>Чистка внутренних узлов</t>
        </is>
      </c>
    </row>
    <row r="50">
      <c r="A50" s="3" t="n">
        <v>45564.18471193287</v>
      </c>
      <c r="B50" t="inlineStr">
        <is>
          <t>Не работает модем</t>
        </is>
      </c>
      <c r="C50" t="inlineStr">
        <is>
          <t>166c8a3f-a211-4d25-b2d4-a5b0b5f067d5</t>
        </is>
      </c>
      <c r="D50" t="inlineStr">
        <is>
          <t>Новиков Ипполит Власович</t>
        </is>
      </c>
      <c r="E50" t="inlineStr">
        <is>
          <t>Загрузка новой товарной матрицы</t>
        </is>
      </c>
    </row>
    <row r="51">
      <c r="A51" s="3" t="n">
        <v>45426.25813701389</v>
      </c>
      <c r="B51" t="inlineStr">
        <is>
          <t>Проблемы с термобумагой</t>
        </is>
      </c>
      <c r="C51" t="inlineStr">
        <is>
          <t>e1d62e6a-5427-4dda-8209-bb584bfbc9e5</t>
        </is>
      </c>
      <c r="D51" t="inlineStr">
        <is>
          <t>Новиков Ипполит Власович</t>
        </is>
      </c>
      <c r="E51" t="inlineStr">
        <is>
          <t>Замена модема</t>
        </is>
      </c>
    </row>
    <row r="52">
      <c r="A52" s="3" t="n">
        <v>45544.98259583333</v>
      </c>
      <c r="B52" t="inlineStr">
        <is>
          <t>Не закрывается люк обслуживания</t>
        </is>
      </c>
      <c r="C52" t="inlineStr">
        <is>
          <t>53e2ec2e-d407-4e9a-a1d9-5a9501e81ede</t>
        </is>
      </c>
      <c r="D52" t="inlineStr">
        <is>
          <t>Никонова Олимпиада Леонидовна</t>
        </is>
      </c>
      <c r="E52" t="inlineStr">
        <is>
          <t>Обновление программного обеспечения</t>
        </is>
      </c>
    </row>
    <row r="53">
      <c r="A53" s="3" t="n">
        <v>45422.16283846064</v>
      </c>
      <c r="B53" t="inlineStr">
        <is>
          <t>Зависла сессия оплаты</t>
        </is>
      </c>
      <c r="C53" t="inlineStr">
        <is>
          <t>166c8a3f-a211-4d25-b2d4-a5b0b5f067d5</t>
        </is>
      </c>
      <c r="D53" t="inlineStr">
        <is>
          <t>Новиков Ипполит Власович</t>
        </is>
      </c>
      <c r="E53" t="inlineStr">
        <is>
          <t>Пополнение товара</t>
        </is>
      </c>
    </row>
    <row r="54">
      <c r="A54" s="3" t="n">
        <v>45656.19044428241</v>
      </c>
      <c r="B54" t="inlineStr">
        <is>
          <t>Не работает модем</t>
        </is>
      </c>
      <c r="C54" t="inlineStr">
        <is>
          <t>53e2ec2e-d407-4e9a-a1d9-5a9501e81ede</t>
        </is>
      </c>
      <c r="D54" t="inlineStr">
        <is>
          <t>Никонова Олимпиада Леонидовна</t>
        </is>
      </c>
      <c r="E54" t="inlineStr">
        <is>
          <t>Ремонт купюроприемника</t>
        </is>
      </c>
    </row>
    <row r="55">
      <c r="A55" s="3" t="n">
        <v>45453.64190649305</v>
      </c>
      <c r="B55" t="inlineStr">
        <is>
          <t>Сбой системы оплаты</t>
        </is>
      </c>
      <c r="C55" t="inlineStr">
        <is>
          <t>0a9a91bf-0fcc-44ac-b3c2-88a33411413a</t>
        </is>
      </c>
      <c r="D55" t="inlineStr">
        <is>
          <t>Воробьева Таисия Альбертовна</t>
        </is>
      </c>
      <c r="E55" t="inlineStr">
        <is>
          <t>Замена модема</t>
        </is>
      </c>
    </row>
    <row r="56">
      <c r="A56" s="3" t="n">
        <v>45436.87706543982</v>
      </c>
      <c r="B56" t="inlineStr">
        <is>
          <t>Сбой системы оплаты</t>
        </is>
      </c>
      <c r="C56" t="inlineStr">
        <is>
          <t>53e2ec2e-d407-4e9a-a1d9-5a9501e81ede</t>
        </is>
      </c>
      <c r="D56" t="inlineStr">
        <is>
          <t>Никонова Олимпиада Леонидовна</t>
        </is>
      </c>
      <c r="E56" t="inlineStr">
        <is>
          <t>Чистка внутренних узлов</t>
        </is>
      </c>
    </row>
    <row r="57">
      <c r="A57" s="3" t="n">
        <v>45662.18022423611</v>
      </c>
      <c r="B57" t="inlineStr">
        <is>
          <t>Повреждён корпус</t>
        </is>
      </c>
      <c r="C57" t="inlineStr">
        <is>
          <t>dc92a945-80cf-4c86-8927-97026c6e82da</t>
        </is>
      </c>
      <c r="D57" t="inlineStr">
        <is>
          <t>Воробьева Таисия Альбертовна</t>
        </is>
      </c>
      <c r="E57" t="inlineStr">
        <is>
          <t>Обновление программного обеспечения</t>
        </is>
      </c>
    </row>
    <row r="58">
      <c r="A58" s="3" t="n">
        <v>45501.75436430555</v>
      </c>
      <c r="B58" t="inlineStr">
        <is>
          <t>Аппарат не выдает товар</t>
        </is>
      </c>
      <c r="C58" t="inlineStr">
        <is>
          <t>7ed68dd4-ef8b-4124-9084-bc16ee8f10d3</t>
        </is>
      </c>
      <c r="D58" t="inlineStr">
        <is>
          <t>Воробьева Таисия Альбертовна</t>
        </is>
      </c>
      <c r="E58" t="inlineStr">
        <is>
          <t>Загрузка новой товарной матрицы</t>
        </is>
      </c>
    </row>
    <row r="59">
      <c r="A59" s="3" t="n">
        <v>45651.58483053241</v>
      </c>
      <c r="B59" t="inlineStr">
        <is>
          <t>Не работает модем</t>
        </is>
      </c>
      <c r="C59" t="inlineStr">
        <is>
          <t>166c8a3f-a211-4d25-b2d4-a5b0b5f067d5</t>
        </is>
      </c>
      <c r="D59" t="inlineStr">
        <is>
          <t>Новиков Ипполит Власович</t>
        </is>
      </c>
      <c r="E59" t="inlineStr">
        <is>
          <t>Проверка телеметрии</t>
        </is>
      </c>
    </row>
    <row r="60">
      <c r="A60" s="3" t="n">
        <v>45512.7472793287</v>
      </c>
      <c r="B60" t="inlineStr">
        <is>
          <t>Не закрывается люк обслуживания</t>
        </is>
      </c>
      <c r="C60" t="inlineStr">
        <is>
          <t>89c05e76-6b7e-4d72-b97c-62ecb96b1370</t>
        </is>
      </c>
      <c r="D60" t="inlineStr">
        <is>
          <t>Новиков Ипполит Власович</t>
        </is>
      </c>
      <c r="E60" t="inlineStr">
        <is>
          <t>Пополнение товара</t>
        </is>
      </c>
    </row>
    <row r="61">
      <c r="A61" s="3" t="n">
        <v>45700.28641855324</v>
      </c>
      <c r="B61" t="inlineStr">
        <is>
          <t>Протечка в отсеке с напитками</t>
        </is>
      </c>
      <c r="C61" t="inlineStr">
        <is>
          <t>70f22c9f-de0a-41a9-9a53-cabf42688d47</t>
        </is>
      </c>
      <c r="D61" t="inlineStr">
        <is>
          <t>Новиков Ипполит Власович</t>
        </is>
      </c>
      <c r="E61" t="inlineStr">
        <is>
          <t>Обновление программного обеспечения</t>
        </is>
      </c>
    </row>
    <row r="62">
      <c r="A62" s="3" t="n">
        <v>45699.99424880787</v>
      </c>
      <c r="B62" t="inlineStr">
        <is>
          <t>Аппарат не выдает товар</t>
        </is>
      </c>
      <c r="C62" t="inlineStr">
        <is>
          <t>70f22c9f-de0a-41a9-9a53-cabf42688d47</t>
        </is>
      </c>
      <c r="D62" t="inlineStr">
        <is>
          <t>Новиков Ипполит Власович</t>
        </is>
      </c>
      <c r="E62" t="inlineStr">
        <is>
          <t>Перезагрузка системы</t>
        </is>
      </c>
    </row>
    <row r="63">
      <c r="A63" s="3" t="n">
        <v>45454.53625753472</v>
      </c>
      <c r="C63" t="inlineStr">
        <is>
          <t>a977e322-192c-4567-9f5f-36f504bfc13d</t>
        </is>
      </c>
      <c r="D63" t="inlineStr">
        <is>
          <t>Новиков Ипполит Власович</t>
        </is>
      </c>
      <c r="E63" t="inlineStr">
        <is>
          <t>Пополнение товара</t>
        </is>
      </c>
    </row>
    <row r="64">
      <c r="A64" s="3" t="n">
        <v>45557.87176920139</v>
      </c>
      <c r="B64" t="inlineStr">
        <is>
          <t>Повреждён корпус</t>
        </is>
      </c>
      <c r="C64" t="inlineStr">
        <is>
          <t>89c05e76-6b7e-4d72-b97c-62ecb96b1370</t>
        </is>
      </c>
      <c r="D64" t="inlineStr">
        <is>
          <t>Новиков Ипполит Власович</t>
        </is>
      </c>
      <c r="E64" t="inlineStr">
        <is>
          <t>Пополнение товара</t>
        </is>
      </c>
    </row>
    <row r="65">
      <c r="A65" s="3" t="n">
        <v>45486.09721877315</v>
      </c>
      <c r="B65" t="inlineStr">
        <is>
          <t>Не закрывается люк обслуживания</t>
        </is>
      </c>
      <c r="C65" t="inlineStr">
        <is>
          <t>7ed68dd4-ef8b-4124-9084-bc16ee8f10d3</t>
        </is>
      </c>
      <c r="D65" t="inlineStr">
        <is>
          <t>Воробьева Таисия Альбертовна</t>
        </is>
      </c>
      <c r="E65" t="inlineStr">
        <is>
          <t>Чистка внутренних узлов</t>
        </is>
      </c>
    </row>
    <row r="66">
      <c r="A66" s="3" t="n">
        <v>45555.64332606481</v>
      </c>
      <c r="B66" t="inlineStr">
        <is>
          <t>Проблемы с термобумагой</t>
        </is>
      </c>
      <c r="C66" t="inlineStr">
        <is>
          <t>e1d62e6a-5427-4dda-8209-bb584bfbc9e5</t>
        </is>
      </c>
      <c r="D66" t="inlineStr">
        <is>
          <t>Новиков Ипполит Власович</t>
        </is>
      </c>
      <c r="E66" t="inlineStr">
        <is>
          <t>Пополнение товара</t>
        </is>
      </c>
    </row>
    <row r="67">
      <c r="A67" s="3" t="n">
        <v>45716.94075206018</v>
      </c>
      <c r="B67" t="inlineStr">
        <is>
          <t>Аппарат не выдает товар</t>
        </is>
      </c>
      <c r="C67" t="inlineStr">
        <is>
          <t>dc92a945-80cf-4c86-8927-97026c6e82da</t>
        </is>
      </c>
      <c r="D67" t="inlineStr">
        <is>
          <t>Воробьева Таисия Альбертовна</t>
        </is>
      </c>
      <c r="E67" t="inlineStr">
        <is>
          <t>Чистка внутренних узлов</t>
        </is>
      </c>
    </row>
    <row r="68">
      <c r="A68" s="3" t="n">
        <v>45719.55921365741</v>
      </c>
      <c r="B68" t="inlineStr">
        <is>
          <t>Аппарат не выдает товар</t>
        </is>
      </c>
      <c r="C68" t="inlineStr">
        <is>
          <t>e1d62e6a-5427-4dda-8209-bb584bfbc9e5</t>
        </is>
      </c>
      <c r="D68" t="inlineStr">
        <is>
          <t>Новиков Ипполит Власович</t>
        </is>
      </c>
      <c r="E68" t="inlineStr">
        <is>
          <t>Замена модема</t>
        </is>
      </c>
    </row>
    <row r="69">
      <c r="A69" s="3" t="n">
        <v>45664.85702119213</v>
      </c>
      <c r="B69" t="inlineStr">
        <is>
          <t>Заклинил монетоприемник</t>
        </is>
      </c>
      <c r="C69" t="inlineStr">
        <is>
          <t>7ed68dd4-ef8b-4124-9084-bc16ee8f10d3</t>
        </is>
      </c>
      <c r="D69" t="inlineStr">
        <is>
          <t>Воробьева Таисия Альбертовна</t>
        </is>
      </c>
      <c r="E69" t="inlineStr">
        <is>
          <t>Загрузка новой товарной матрицы</t>
        </is>
      </c>
    </row>
    <row r="70">
      <c r="A70" s="3" t="n">
        <v>45506.6975634375</v>
      </c>
      <c r="B70" t="inlineStr">
        <is>
          <t>Протечка в отсеке с напитками</t>
        </is>
      </c>
      <c r="C70" t="inlineStr">
        <is>
          <t>e1d62e6a-5427-4dda-8209-bb584bfbc9e5</t>
        </is>
      </c>
      <c r="D70" t="inlineStr">
        <is>
          <t>Новиков Ипполит Власович</t>
        </is>
      </c>
      <c r="E70" t="inlineStr">
        <is>
          <t>Пополнение товара</t>
        </is>
      </c>
    </row>
    <row r="71">
      <c r="A71" s="3" t="n">
        <v>45521.56114701389</v>
      </c>
      <c r="C71" t="inlineStr">
        <is>
          <t>7ed68dd4-ef8b-4124-9084-bc16ee8f10d3</t>
        </is>
      </c>
      <c r="D71" t="inlineStr">
        <is>
          <t>Воробьева Таисия Альбертовна</t>
        </is>
      </c>
      <c r="E71" t="inlineStr">
        <is>
          <t>Ремонт купюроприемника</t>
        </is>
      </c>
    </row>
    <row r="72">
      <c r="A72" s="3" t="n">
        <v>45518.78847878472</v>
      </c>
      <c r="B72" t="inlineStr">
        <is>
          <t>Ошибка дисплея</t>
        </is>
      </c>
      <c r="C72" t="inlineStr">
        <is>
          <t>dc92a945-80cf-4c86-8927-97026c6e82da</t>
        </is>
      </c>
      <c r="D72" t="inlineStr">
        <is>
          <t>Воробьева Таисия Альбертовна</t>
        </is>
      </c>
      <c r="E72" t="inlineStr">
        <is>
          <t>Ремонт купюроприемника</t>
        </is>
      </c>
    </row>
    <row r="73">
      <c r="A73" s="3" t="n">
        <v>45396.11202319444</v>
      </c>
      <c r="B73" t="inlineStr">
        <is>
          <t>Заклинил монетоприемник</t>
        </is>
      </c>
      <c r="C73" t="inlineStr">
        <is>
          <t>e1d62e6a-5427-4dda-8209-bb584bfbc9e5</t>
        </is>
      </c>
      <c r="D73" t="inlineStr">
        <is>
          <t>Новиков Ипполит Власович</t>
        </is>
      </c>
      <c r="E73" t="inlineStr">
        <is>
          <t>Чистка внутренних узлов</t>
        </is>
      </c>
    </row>
    <row r="74">
      <c r="A74" s="3" t="n">
        <v>45421.76559296296</v>
      </c>
      <c r="B74" t="inlineStr">
        <is>
          <t>Аппарат не выдает товар</t>
        </is>
      </c>
      <c r="C74" t="inlineStr">
        <is>
          <t>4daae871-71ac-44da-8b58-dcf1a2ae907a</t>
        </is>
      </c>
      <c r="D74" t="inlineStr">
        <is>
          <t>Воробьева Таисия Альбертовна</t>
        </is>
      </c>
      <c r="E74" t="inlineStr">
        <is>
          <t>Настройка сетевого соединения</t>
        </is>
      </c>
    </row>
    <row r="75">
      <c r="A75" s="3" t="n">
        <v>45487.8450419213</v>
      </c>
      <c r="B75" t="inlineStr">
        <is>
          <t>Проблемы с термобумагой</t>
        </is>
      </c>
      <c r="C75" t="inlineStr">
        <is>
          <t>e1d62e6a-5427-4dda-8209-bb584bfbc9e5</t>
        </is>
      </c>
      <c r="D75" t="inlineStr">
        <is>
          <t>Новиков Ипполит Власович</t>
        </is>
      </c>
      <c r="E75" t="inlineStr">
        <is>
          <t>Обновление программного обеспечения</t>
        </is>
      </c>
    </row>
    <row r="76">
      <c r="A76" s="3" t="n">
        <v>45461.04506032408</v>
      </c>
      <c r="B76" t="inlineStr">
        <is>
          <t>Не работает модем</t>
        </is>
      </c>
      <c r="C76" t="inlineStr">
        <is>
          <t>e1d62e6a-5427-4dda-8209-bb584bfbc9e5</t>
        </is>
      </c>
      <c r="D76" t="inlineStr">
        <is>
          <t>Новиков Ипполит Власович</t>
        </is>
      </c>
      <c r="E76" t="inlineStr">
        <is>
          <t>Проверка телеметрии</t>
        </is>
      </c>
    </row>
    <row r="77">
      <c r="A77" s="3" t="n">
        <v>45757.56897152778</v>
      </c>
      <c r="B77" t="inlineStr">
        <is>
          <t>Повреждён корпус</t>
        </is>
      </c>
      <c r="C77" t="inlineStr">
        <is>
          <t>70f22c9f-de0a-41a9-9a53-cabf42688d47</t>
        </is>
      </c>
      <c r="D77" t="inlineStr">
        <is>
          <t>Новиков Ипполит Власович</t>
        </is>
      </c>
      <c r="E77" t="inlineStr">
        <is>
          <t>Настройка сетевого соединения</t>
        </is>
      </c>
    </row>
    <row r="78">
      <c r="A78" s="3" t="n">
        <v>45535.14405077546</v>
      </c>
      <c r="B78" t="inlineStr">
        <is>
          <t>Протечка в отсеке с напитками</t>
        </is>
      </c>
      <c r="C78" t="inlineStr">
        <is>
          <t>e1d62e6a-5427-4dda-8209-bb584bfbc9e5</t>
        </is>
      </c>
      <c r="D78" t="inlineStr">
        <is>
          <t>Новиков Ипполит Власович</t>
        </is>
      </c>
      <c r="E78" t="inlineStr">
        <is>
          <t>Замена дисплея</t>
        </is>
      </c>
    </row>
    <row r="79">
      <c r="A79" s="3" t="n">
        <v>45494.92645969908</v>
      </c>
      <c r="B79" t="inlineStr">
        <is>
          <t>Аппарат не выдает товар</t>
        </is>
      </c>
      <c r="C79" t="inlineStr">
        <is>
          <t>7ed68dd4-ef8b-4124-9084-bc16ee8f10d3</t>
        </is>
      </c>
      <c r="D79" t="inlineStr">
        <is>
          <t>Воробьева Таисия Альбертовна</t>
        </is>
      </c>
      <c r="E79" t="inlineStr">
        <is>
          <t>Перезагрузка системы</t>
        </is>
      </c>
    </row>
    <row r="80">
      <c r="A80" s="3" t="n">
        <v>45492.35010271991</v>
      </c>
      <c r="B80" t="inlineStr">
        <is>
          <t>Аппарат не выдает товар</t>
        </is>
      </c>
      <c r="C80" t="inlineStr">
        <is>
          <t>4daae871-71ac-44da-8b58-dcf1a2ae907a</t>
        </is>
      </c>
      <c r="D80" t="inlineStr">
        <is>
          <t>Воробьева Таисия Альбертовна</t>
        </is>
      </c>
      <c r="E80" t="inlineStr">
        <is>
          <t>Чистка внутренних узлов</t>
        </is>
      </c>
    </row>
    <row r="81">
      <c r="A81" s="3" t="n">
        <v>45443.64207453703</v>
      </c>
      <c r="B81" t="inlineStr">
        <is>
          <t>Зависла сессия оплаты</t>
        </is>
      </c>
      <c r="C81" t="inlineStr">
        <is>
          <t>e1d62e6a-5427-4dda-8209-bb584bfbc9e5</t>
        </is>
      </c>
      <c r="D81" t="inlineStr">
        <is>
          <t>Новиков Ипполит Власович</t>
        </is>
      </c>
      <c r="E81" t="inlineStr">
        <is>
          <t>Пополнение товара</t>
        </is>
      </c>
    </row>
    <row r="82">
      <c r="A82" s="3" t="n">
        <v>45652.24971815972</v>
      </c>
      <c r="B82" t="inlineStr">
        <is>
          <t>Не закрывается люк обслуживания</t>
        </is>
      </c>
      <c r="C82" t="inlineStr">
        <is>
          <t>89c05e76-6b7e-4d72-b97c-62ecb96b1370</t>
        </is>
      </c>
      <c r="D82" t="inlineStr">
        <is>
          <t>Новиков Ипполит Власович</t>
        </is>
      </c>
      <c r="E82" t="inlineStr">
        <is>
          <t>Ремонт купюроприемника</t>
        </is>
      </c>
    </row>
    <row r="83">
      <c r="A83" s="3" t="n">
        <v>45710.92468173611</v>
      </c>
      <c r="C83" t="inlineStr">
        <is>
          <t>70f22c9f-de0a-41a9-9a53-cabf42688d47</t>
        </is>
      </c>
      <c r="D83" t="inlineStr">
        <is>
          <t>Новиков Ипполит Власович</t>
        </is>
      </c>
      <c r="E83" t="inlineStr">
        <is>
          <t>Пополнение товара</t>
        </is>
      </c>
    </row>
    <row r="84">
      <c r="A84" s="3" t="n">
        <v>45679.7627300926</v>
      </c>
      <c r="B84" t="inlineStr">
        <is>
          <t>Ошибка дисплея</t>
        </is>
      </c>
      <c r="C84" t="inlineStr">
        <is>
          <t>a977e322-192c-4567-9f5f-36f504bfc13d</t>
        </is>
      </c>
      <c r="D84" t="inlineStr">
        <is>
          <t>Новиков Ипполит Власович</t>
        </is>
      </c>
      <c r="E84" t="inlineStr">
        <is>
          <t>Замена дисплея</t>
        </is>
      </c>
    </row>
    <row r="85">
      <c r="A85" s="3" t="n">
        <v>45623.83237785879</v>
      </c>
      <c r="B85" t="inlineStr">
        <is>
          <t>Заклинил монетоприемник</t>
        </is>
      </c>
      <c r="C85" t="inlineStr">
        <is>
          <t>166c8a3f-a211-4d25-b2d4-a5b0b5f067d5</t>
        </is>
      </c>
      <c r="D85" t="inlineStr">
        <is>
          <t>Новиков Ипполит Власович</t>
        </is>
      </c>
      <c r="E85" t="inlineStr">
        <is>
          <t>Пополнение товара</t>
        </is>
      </c>
    </row>
    <row r="86">
      <c r="A86" s="3" t="n">
        <v>45606.7893334375</v>
      </c>
      <c r="B86" t="inlineStr">
        <is>
          <t>Аппарат не выдает товар</t>
        </is>
      </c>
      <c r="C86" t="inlineStr">
        <is>
          <t>e1d62e6a-5427-4dda-8209-bb584bfbc9e5</t>
        </is>
      </c>
      <c r="D86" t="inlineStr">
        <is>
          <t>Новиков Ипполит Власович</t>
        </is>
      </c>
      <c r="E86" t="inlineStr">
        <is>
          <t>Перезагрузка системы</t>
        </is>
      </c>
    </row>
    <row r="87">
      <c r="A87" s="3" t="n">
        <v>45433.69961138889</v>
      </c>
      <c r="C87" t="inlineStr">
        <is>
          <t>dc92a945-80cf-4c86-8927-97026c6e82da</t>
        </is>
      </c>
      <c r="D87" t="inlineStr">
        <is>
          <t>Воробьева Таисия Альбертовна</t>
        </is>
      </c>
      <c r="E87" t="inlineStr">
        <is>
          <t>Загрузка новой товарной матрицы</t>
        </is>
      </c>
    </row>
    <row r="88">
      <c r="A88" s="3" t="n">
        <v>45576.80816828704</v>
      </c>
      <c r="C88" t="inlineStr">
        <is>
          <t>7ed68dd4-ef8b-4124-9084-bc16ee8f10d3</t>
        </is>
      </c>
      <c r="D88" t="inlineStr">
        <is>
          <t>Воробьева Таисия Альбертовна</t>
        </is>
      </c>
      <c r="E88" t="inlineStr">
        <is>
          <t>Перезагрузка системы</t>
        </is>
      </c>
    </row>
    <row r="89">
      <c r="A89" s="3" t="n">
        <v>45700.66221114583</v>
      </c>
      <c r="B89" t="inlineStr">
        <is>
          <t>Не работает модем</t>
        </is>
      </c>
      <c r="C89" t="inlineStr">
        <is>
          <t>a977e322-192c-4567-9f5f-36f504bfc13d</t>
        </is>
      </c>
      <c r="D89" t="inlineStr">
        <is>
          <t>Новиков Ипполит Власович</t>
        </is>
      </c>
      <c r="E89" t="inlineStr">
        <is>
          <t>Ремонт купюроприемника</t>
        </is>
      </c>
    </row>
    <row r="90">
      <c r="A90" s="3" t="n">
        <v>45628.60775476852</v>
      </c>
      <c r="B90" t="inlineStr">
        <is>
          <t>Протечка в отсеке с напитками</t>
        </is>
      </c>
      <c r="C90" t="inlineStr">
        <is>
          <t>53e2ec2e-d407-4e9a-a1d9-5a9501e81ede</t>
        </is>
      </c>
      <c r="D90" t="inlineStr">
        <is>
          <t>Никонова Олимпиада Леонидовна</t>
        </is>
      </c>
      <c r="E90" t="inlineStr">
        <is>
          <t>Проверка телеметрии</t>
        </is>
      </c>
    </row>
    <row r="91">
      <c r="A91" s="3" t="n">
        <v>45506.95335650463</v>
      </c>
      <c r="B91" t="inlineStr">
        <is>
          <t>Заклинил монетоприемник</t>
        </is>
      </c>
      <c r="C91" t="inlineStr">
        <is>
          <t>53e2ec2e-d407-4e9a-a1d9-5a9501e81ede</t>
        </is>
      </c>
      <c r="D91" t="inlineStr">
        <is>
          <t>Никонова Олимпиада Леонидовна</t>
        </is>
      </c>
      <c r="E91" t="inlineStr">
        <is>
          <t>Пополнение товара</t>
        </is>
      </c>
    </row>
    <row r="92">
      <c r="A92" s="3" t="n">
        <v>45543.24370027778</v>
      </c>
      <c r="B92" t="inlineStr">
        <is>
          <t>Проблемы с термобумагой</t>
        </is>
      </c>
      <c r="C92" t="inlineStr">
        <is>
          <t>a977e322-192c-4567-9f5f-36f504bfc13d</t>
        </is>
      </c>
      <c r="D92" t="inlineStr">
        <is>
          <t>Новиков Ипполит Власович</t>
        </is>
      </c>
      <c r="E92" t="inlineStr">
        <is>
          <t>Загрузка новой товарной матрицы</t>
        </is>
      </c>
    </row>
    <row r="93">
      <c r="A93" s="3" t="n">
        <v>45715.28060362268</v>
      </c>
      <c r="B93" t="inlineStr">
        <is>
          <t>Сбой системы оплаты</t>
        </is>
      </c>
      <c r="C93" t="inlineStr">
        <is>
          <t>89c05e76-6b7e-4d72-b97c-62ecb96b1370</t>
        </is>
      </c>
      <c r="D93" t="inlineStr">
        <is>
          <t>Новиков Ипполит Власович</t>
        </is>
      </c>
      <c r="E93" t="inlineStr">
        <is>
          <t>Замена дисплея</t>
        </is>
      </c>
    </row>
    <row r="94">
      <c r="A94" s="3" t="n">
        <v>45523.07344840278</v>
      </c>
      <c r="B94" t="inlineStr">
        <is>
          <t>Не закрывается люк обслуживания</t>
        </is>
      </c>
      <c r="C94" t="inlineStr">
        <is>
          <t>70f22c9f-de0a-41a9-9a53-cabf42688d47</t>
        </is>
      </c>
      <c r="D94" t="inlineStr">
        <is>
          <t>Новиков Ипполит Власович</t>
        </is>
      </c>
      <c r="E94" t="inlineStr">
        <is>
          <t>Загрузка новой товарной матрицы</t>
        </is>
      </c>
    </row>
    <row r="95">
      <c r="A95" s="3" t="n">
        <v>45463.22798444444</v>
      </c>
      <c r="B95" t="inlineStr">
        <is>
          <t>Зависла сессия оплаты</t>
        </is>
      </c>
      <c r="C95" t="inlineStr">
        <is>
          <t>70f22c9f-de0a-41a9-9a53-cabf42688d47</t>
        </is>
      </c>
      <c r="D95" t="inlineStr">
        <is>
          <t>Новиков Ипполит Власович</t>
        </is>
      </c>
      <c r="E95" t="inlineStr">
        <is>
          <t>Чистка внутренних узлов</t>
        </is>
      </c>
    </row>
    <row r="96">
      <c r="A96" s="3" t="n">
        <v>45676.16056699074</v>
      </c>
      <c r="B96" t="inlineStr">
        <is>
          <t>Сбой системы оплаты</t>
        </is>
      </c>
      <c r="C96" t="inlineStr">
        <is>
          <t>89c05e76-6b7e-4d72-b97c-62ecb96b1370</t>
        </is>
      </c>
      <c r="D96" t="inlineStr">
        <is>
          <t>Новиков Ипполит Власович</t>
        </is>
      </c>
      <c r="E96" t="inlineStr">
        <is>
          <t>Проверка телеметрии</t>
        </is>
      </c>
    </row>
    <row r="97">
      <c r="A97" s="3" t="n">
        <v>45658.68560836805</v>
      </c>
      <c r="B97" t="inlineStr">
        <is>
          <t>Протечка в отсеке с напитками</t>
        </is>
      </c>
      <c r="C97" t="inlineStr">
        <is>
          <t>70f22c9f-de0a-41a9-9a53-cabf42688d47</t>
        </is>
      </c>
      <c r="D97" t="inlineStr">
        <is>
          <t>Новиков Ипполит Власович</t>
        </is>
      </c>
      <c r="E97" t="inlineStr">
        <is>
          <t>Замена модема</t>
        </is>
      </c>
    </row>
    <row r="98">
      <c r="A98" s="3" t="n">
        <v>45636.47949903935</v>
      </c>
      <c r="B98" t="inlineStr">
        <is>
          <t>Заклинил монетоприемник</t>
        </is>
      </c>
      <c r="C98" t="inlineStr">
        <is>
          <t>89c05e76-6b7e-4d72-b97c-62ecb96b1370</t>
        </is>
      </c>
      <c r="D98" t="inlineStr">
        <is>
          <t>Новиков Ипполит Власович</t>
        </is>
      </c>
      <c r="E98" t="inlineStr">
        <is>
          <t>Загрузка новой товарной матрицы</t>
        </is>
      </c>
    </row>
    <row r="99">
      <c r="A99" s="3" t="n">
        <v>45447.1965359375</v>
      </c>
      <c r="B99" t="inlineStr">
        <is>
          <t>Зависла сессия оплаты</t>
        </is>
      </c>
      <c r="C99" t="inlineStr">
        <is>
          <t>dc92a945-80cf-4c86-8927-97026c6e82da</t>
        </is>
      </c>
      <c r="D99" t="inlineStr">
        <is>
          <t>Воробьева Таисия Альбертовна</t>
        </is>
      </c>
      <c r="E99" t="inlineStr">
        <is>
          <t>Ремонт купюроприемника</t>
        </is>
      </c>
    </row>
    <row r="100">
      <c r="A100" s="3" t="n">
        <v>45755.92450931713</v>
      </c>
      <c r="B100" t="inlineStr">
        <is>
          <t>Повреждён корпус</t>
        </is>
      </c>
      <c r="C100" t="inlineStr">
        <is>
          <t>0a9a91bf-0fcc-44ac-b3c2-88a33411413a</t>
        </is>
      </c>
      <c r="D100" t="inlineStr">
        <is>
          <t>Воробьева Таисия Альбертовна</t>
        </is>
      </c>
      <c r="E100" t="inlineStr">
        <is>
          <t>Чистка внутренних узлов</t>
        </is>
      </c>
    </row>
    <row r="101">
      <c r="A101" s="3" t="n">
        <v>45405.46205666666</v>
      </c>
      <c r="B101" t="inlineStr">
        <is>
          <t>Зависла сессия оплаты</t>
        </is>
      </c>
      <c r="C101" t="inlineStr">
        <is>
          <t>7ed68dd4-ef8b-4124-9084-bc16ee8f10d3</t>
        </is>
      </c>
      <c r="D101" t="inlineStr">
        <is>
          <t>Воробьева Таисия Альбертовна</t>
        </is>
      </c>
      <c r="E101" t="inlineStr">
        <is>
          <t>Загрузка новой товарной матрицы</t>
        </is>
      </c>
    </row>
  </sheetData>
  <autoFilter ref="A1:E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2" t="inlineStr">
        <is>
          <t>SourceStatus</t>
        </is>
      </c>
      <c r="B1" s="2" t="inlineStr">
        <is>
          <t>DbStatus</t>
        </is>
      </c>
    </row>
    <row r="2">
      <c r="A2" t="inlineStr">
        <is>
          <t>Сломан</t>
        </is>
      </c>
      <c r="B2" t="inlineStr">
        <is>
          <t>Вышел из строя</t>
        </is>
      </c>
    </row>
    <row r="3">
      <c r="A3" t="inlineStr">
        <is>
          <t>Обслуживается</t>
        </is>
      </c>
      <c r="B3" t="inlineStr">
        <is>
          <t>В ремонте/на обслуживании</t>
        </is>
      </c>
    </row>
    <row r="4">
      <c r="A4" t="inlineStr">
        <is>
          <t>Работает</t>
        </is>
      </c>
      <c r="B4" t="inlineStr">
        <is>
          <t>Работает</t>
        </is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SourcePayment</t>
        </is>
      </c>
      <c r="B1" s="2" t="inlineStr">
        <is>
          <t>DbPayment</t>
        </is>
      </c>
    </row>
    <row r="2">
      <c r="A2" t="inlineStr">
        <is>
          <t>Qr-код</t>
        </is>
      </c>
      <c r="B2" t="inlineStr">
        <is>
          <t>QR</t>
        </is>
      </c>
    </row>
    <row r="3">
      <c r="A3" t="inlineStr">
        <is>
          <t>Карта</t>
        </is>
      </c>
      <c r="B3" t="inlineStr">
        <is>
          <t>Карта</t>
        </is>
      </c>
    </row>
    <row r="4">
      <c r="A4" t="inlineStr">
        <is>
          <t>Наличные</t>
        </is>
      </c>
      <c r="B4" t="inlineStr">
        <is>
          <t>Наличные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Администратор</t>
        </is>
      </c>
    </row>
    <row r="3">
      <c r="A3" t="inlineStr">
        <is>
          <t>Оператор</t>
        </is>
      </c>
    </row>
    <row r="4">
      <c r="A4" t="inlineStr">
        <is>
          <t>Менеджер</t>
        </is>
      </c>
    </row>
    <row r="5">
      <c r="A5" t="inlineStr">
        <is>
          <t>Инженер</t>
        </is>
      </c>
    </row>
    <row r="6">
      <c r="A6" t="inlineStr">
        <is>
          <t>Техник-оператор</t>
        </is>
      </c>
    </row>
    <row r="7">
      <c r="A7" t="inlineStr">
        <is>
          <t>Франчайзи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ООО ВендингСервис Плюс</t>
        </is>
      </c>
    </row>
    <row r="3">
      <c r="A3" t="inlineStr">
        <is>
          <t>ООО Про Вендинг Групп</t>
        </is>
      </c>
    </row>
    <row r="4">
      <c r="A4" t="inlineStr">
        <is>
          <t>ООО Торговые Аппараты</t>
        </is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Стандартный</t>
        </is>
      </c>
    </row>
    <row r="3">
      <c r="A3" t="inlineStr">
        <is>
          <t>Тестовый</t>
        </is>
      </c>
    </row>
  </sheetData>
  <autoFilter ref="A1:B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UTC+3</t>
        </is>
      </c>
    </row>
    <row r="3">
      <c r="A3" t="inlineStr">
        <is>
          <t>UTC+4</t>
        </is>
      </c>
    </row>
    <row r="4">
      <c r="A4" t="inlineStr">
        <is>
          <t>UTC+5</t>
        </is>
      </c>
    </row>
    <row r="5">
      <c r="A5" t="inlineStr">
        <is>
          <t>UTC+6</t>
        </is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Работает</t>
        </is>
      </c>
    </row>
    <row r="3">
      <c r="A3" t="inlineStr">
        <is>
          <t>Вышел из строя</t>
        </is>
      </c>
    </row>
    <row r="4">
      <c r="A4" t="inlineStr">
        <is>
          <t>В ремонте/на обслуживании</t>
        </is>
      </c>
    </row>
  </sheetData>
  <autoFilter ref="A1:B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Высокий</t>
        </is>
      </c>
    </row>
    <row r="3">
      <c r="A3" t="inlineStr">
        <is>
          <t>Низкий</t>
        </is>
      </c>
    </row>
    <row r="4">
      <c r="A4" t="inlineStr">
        <is>
          <t>Средний</t>
        </is>
      </c>
    </row>
  </sheetData>
  <autoFilter ref="A1:B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установлена</t>
        </is>
      </c>
    </row>
  </sheetData>
  <autoFilter ref="A1:B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Россия</t>
        </is>
      </c>
    </row>
  </sheetData>
  <autoFilter ref="A1:B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Наличные</t>
        </is>
      </c>
    </row>
    <row r="3">
      <c r="A3" t="inlineStr">
        <is>
          <t>Карта</t>
        </is>
      </c>
    </row>
    <row r="4">
      <c r="A4" t="inlineStr">
        <is>
          <t>QR</t>
        </is>
      </c>
    </row>
  </sheetData>
  <autoFilter ref="A1:B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</t>
        </is>
      </c>
    </row>
    <row r="3">
      <c r="A3" t="inlineStr">
        <is>
          <t>Расширенный</t>
        </is>
      </c>
    </row>
    <row r="4">
      <c r="A4" t="inlineStr">
        <is>
          <t>Стандартный</t>
        </is>
      </c>
    </row>
  </sheetData>
  <autoFilter ref="A1:B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</t>
        </is>
      </c>
    </row>
    <row r="3">
      <c r="A3" t="inlineStr">
        <is>
          <t>Расширенный</t>
        </is>
      </c>
    </row>
    <row r="4">
      <c r="A4" t="inlineStr">
        <is>
          <t>Стандартный</t>
        </is>
      </c>
    </row>
  </sheetData>
  <autoFilter ref="A1:B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12" customWidth="1" min="4" max="4"/>
  </cols>
  <sheetData>
    <row r="1">
      <c r="A1" s="2" t="inlineStr">
        <is>
          <t>ModelKey</t>
        </is>
      </c>
      <c r="B1" s="2" t="inlineStr">
        <is>
          <t>VendingMachineModelId</t>
        </is>
      </c>
      <c r="C1" s="2" t="inlineStr">
        <is>
          <t>ManufacturerName</t>
        </is>
      </c>
      <c r="D1" s="2" t="inlineStr">
        <is>
          <t>ModelName</t>
        </is>
      </c>
    </row>
    <row r="2">
      <c r="A2" t="inlineStr">
        <is>
          <t>Bianchi|BVM 972</t>
        </is>
      </c>
      <c r="C2" t="inlineStr">
        <is>
          <t>Bianchi</t>
        </is>
      </c>
      <c r="D2" t="inlineStr">
        <is>
          <t>BVM 972</t>
        </is>
      </c>
    </row>
    <row r="3">
      <c r="A3" t="inlineStr">
        <is>
          <t>Necta|Kikko ES6</t>
        </is>
      </c>
      <c r="C3" t="inlineStr">
        <is>
          <t>Necta</t>
        </is>
      </c>
      <c r="D3" t="inlineStr">
        <is>
          <t>Kikko ES6</t>
        </is>
      </c>
    </row>
    <row r="4">
      <c r="A4" t="inlineStr">
        <is>
          <t>Necta|Kikko Max</t>
        </is>
      </c>
      <c r="C4" t="inlineStr">
        <is>
          <t>Necta</t>
        </is>
      </c>
      <c r="D4" t="inlineStr">
        <is>
          <t>Kikko Max</t>
        </is>
      </c>
    </row>
    <row r="5">
      <c r="A5" t="inlineStr">
        <is>
          <t>Rheavendors|Luce E5</t>
        </is>
      </c>
      <c r="C5" t="inlineStr">
        <is>
          <t>Rheavendors</t>
        </is>
      </c>
      <c r="D5" t="inlineStr">
        <is>
          <t>Luce E5</t>
        </is>
      </c>
    </row>
    <row r="6">
      <c r="A6" t="inlineStr">
        <is>
          <t>Unicum|Food Box</t>
        </is>
      </c>
      <c r="C6" t="inlineStr">
        <is>
          <t>Unicum</t>
        </is>
      </c>
      <c r="D6" t="inlineStr">
        <is>
          <t>Food Box</t>
        </is>
      </c>
    </row>
    <row r="7">
      <c r="A7" t="inlineStr">
        <is>
          <t>Unicum|Rosso</t>
        </is>
      </c>
      <c r="C7" t="inlineStr">
        <is>
          <t>Unicum</t>
        </is>
      </c>
      <c r="D7" t="inlineStr">
        <is>
          <t>Rosso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FullName</t>
        </is>
      </c>
      <c r="B1" s="2" t="inlineStr">
        <is>
          <t>UserAccountId</t>
        </is>
      </c>
    </row>
  </sheetData>
  <autoFilter ref="A1:B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SerialNumber</t>
        </is>
      </c>
      <c r="B1" s="2" t="inlineStr">
        <is>
          <t>VendingMachineId</t>
        </is>
      </c>
    </row>
  </sheetData>
  <autoFilter ref="A1:B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ProductName</t>
        </is>
      </c>
      <c r="B1" s="2" t="inlineStr">
        <is>
          <t>ProductId</t>
        </is>
      </c>
    </row>
  </sheetData>
  <autoFilter ref="A1:B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1" customWidth="1" min="5" max="5"/>
    <col width="48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48" customWidth="1" min="12" max="12"/>
    <col width="48" customWidth="1" min="13" max="13"/>
    <col width="48" customWidth="1" min="14" max="14"/>
    <col width="48" customWidth="1" min="15" max="15"/>
    <col width="15" customWidth="1" min="16" max="16"/>
    <col width="26" customWidth="1" min="17" max="17"/>
    <col width="46" customWidth="1" min="18" max="18"/>
    <col width="12" customWidth="1" min="19" max="19"/>
    <col width="12" customWidth="1" min="20" max="20"/>
  </cols>
  <sheetData>
    <row r="1">
      <c r="A1" s="2" t="inlineStr">
        <is>
          <t>ExternalId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FullName</t>
        </is>
      </c>
      <c r="E1" s="2" t="inlineStr">
        <is>
          <t>LastName</t>
        </is>
      </c>
      <c r="F1" s="2" t="inlineStr">
        <is>
          <t>FirstName</t>
        </is>
      </c>
      <c r="G1" s="2" t="inlineStr">
        <is>
          <t>Patronymic</t>
        </is>
      </c>
      <c r="H1" s="2" t="inlineStr">
        <is>
          <t>SourceRole</t>
        </is>
      </c>
      <c r="I1" s="2" t="inlineStr">
        <is>
          <t>IsManager</t>
        </is>
      </c>
      <c r="J1" s="2" t="inlineStr">
        <is>
          <t>IsEngineer</t>
        </is>
      </c>
      <c r="K1" s="2" t="inlineStr">
        <is>
          <t>IsOperator</t>
        </is>
      </c>
      <c r="L1" s="2" t="inlineStr">
        <is>
          <t>RoleNameDb</t>
        </is>
      </c>
      <c r="M1" s="2" t="inlineStr">
        <is>
          <t>UserRoleId</t>
        </is>
      </c>
      <c r="N1" s="2" t="inlineStr">
        <is>
          <t>CompanyNameDb</t>
        </is>
      </c>
      <c r="O1" s="2" t="inlineStr">
        <is>
          <t>CompanyId</t>
        </is>
      </c>
      <c r="P1" s="2" t="inlineStr">
        <is>
          <t>PasswordPlain</t>
        </is>
      </c>
      <c r="Q1" s="2" t="inlineStr">
        <is>
          <t>PasswordSalt</t>
        </is>
      </c>
      <c r="R1" s="2" t="inlineStr">
        <is>
          <t>PasswordHash</t>
        </is>
      </c>
      <c r="S1" s="2" t="inlineStr">
        <is>
          <t>IsActive</t>
        </is>
      </c>
      <c r="T1" s="2" t="inlineStr">
        <is>
          <t>PhotoUrl</t>
        </is>
      </c>
    </row>
    <row r="2">
      <c r="A2">
        <f>SRC_Users!A2</f>
        <v/>
      </c>
      <c r="B2">
        <f>SRC_Users!B2</f>
        <v/>
      </c>
      <c r="C2">
        <f>SRC_Users!C2</f>
        <v/>
      </c>
      <c r="D2">
        <f>SRC_Users!D2</f>
        <v/>
      </c>
      <c r="E2">
        <f>IFERROR(LEFT(D2,FIND(" ",D2)-1),D2)</f>
        <v/>
      </c>
      <c r="F2">
        <f>IFERROR(MID(D2,FIND(" ",D2)+1,FIND(" ",D2,FIND(" ",D2)+1)-FIND(" ",D2)-1),"")</f>
        <v/>
      </c>
      <c r="G2">
        <f>IFERROR(MID(D2,FIND(" ",D2,FIND(" ",D2)+1)+1,99),"")</f>
        <v/>
      </c>
      <c r="H2">
        <f>SRC_Users!E2</f>
        <v/>
      </c>
      <c r="I2">
        <f>SRC_Users!F2</f>
        <v/>
      </c>
      <c r="J2">
        <f>SRC_Users!G2</f>
        <v/>
      </c>
      <c r="K2">
        <f>SRC_Users!H2</f>
        <v/>
      </c>
      <c r="L2">
        <f>IF(H2="Франчайзи","Франчайзи",IF(I2=TRUE,"Менеджер",IF(J2=TRUE,"Инженер",IF(K2=TRUE,"Техник-оператор","Оператор"))))</f>
        <v/>
      </c>
      <c r="M2">
        <f>IFERROR(VLOOKUP(L2,REF_UserRole!$A:$B,2,FALSE),"")</f>
        <v/>
      </c>
      <c r="N2">
        <f>IF(L2="Франчайзи","ООО Торговые Аппараты","")</f>
        <v/>
      </c>
      <c r="O2">
        <f>IFERROR(VLOOKUP(N2,REF_Company!$A:$B,2,FALSE),"")</f>
        <v/>
      </c>
      <c r="P2" t="inlineStr">
        <is>
          <t>P@ssw0rd!</t>
        </is>
      </c>
      <c r="Q2" t="inlineStr">
        <is>
          <t>AfC305tkSdC2PpGQ1zbQkQ==</t>
        </is>
      </c>
      <c r="R2" t="inlineStr">
        <is>
          <t>7QyxCLMUJgaMF4EkjZANcjQAPLbSM2caA1fIZNhXoOs=</t>
        </is>
      </c>
      <c r="S2" t="n">
        <v>1</v>
      </c>
    </row>
    <row r="3">
      <c r="A3">
        <f>SRC_Users!A3</f>
        <v/>
      </c>
      <c r="B3">
        <f>SRC_Users!B3</f>
        <v/>
      </c>
      <c r="C3">
        <f>SRC_Users!C3</f>
        <v/>
      </c>
      <c r="D3">
        <f>SRC_Users!D3</f>
        <v/>
      </c>
      <c r="E3">
        <f>IFERROR(LEFT(D3,FIND(" ",D3)-1),D3)</f>
        <v/>
      </c>
      <c r="F3">
        <f>IFERROR(MID(D3,FIND(" ",D3)+1,FIND(" ",D3,FIND(" ",D3)+1)-FIND(" ",D3)-1),"")</f>
        <v/>
      </c>
      <c r="G3">
        <f>IFERROR(MID(D3,FIND(" ",D3,FIND(" ",D3)+1)+1,99),"")</f>
        <v/>
      </c>
      <c r="H3">
        <f>SRC_Users!E3</f>
        <v/>
      </c>
      <c r="I3">
        <f>SRC_Users!F3</f>
        <v/>
      </c>
      <c r="J3">
        <f>SRC_Users!G3</f>
        <v/>
      </c>
      <c r="K3">
        <f>SRC_Users!H3</f>
        <v/>
      </c>
      <c r="L3">
        <f>IF(H3="Франчайзи","Франчайзи",IF(I3=TRUE,"Менеджер",IF(J3=TRUE,"Инженер",IF(K3=TRUE,"Техник-оператор","Оператор"))))</f>
        <v/>
      </c>
      <c r="M3">
        <f>IFERROR(VLOOKUP(L3,REF_UserRole!$A:$B,2,FALSE),"")</f>
        <v/>
      </c>
      <c r="N3">
        <f>IF(L3="Франчайзи","ООО Торговые Аппараты","")</f>
        <v/>
      </c>
      <c r="O3">
        <f>IFERROR(VLOOKUP(N3,REF_Company!$A:$B,2,FALSE),"")</f>
        <v/>
      </c>
      <c r="P3" t="inlineStr">
        <is>
          <t>P@ssw0rd!</t>
        </is>
      </c>
      <c r="Q3" t="inlineStr">
        <is>
          <t>EIUZ5di0QZqsYEvt7MniBA==</t>
        </is>
      </c>
      <c r="R3" t="inlineStr">
        <is>
          <t>aVAY2c5LCLRmskpsEHRx/shsYJWVwIh7LNicgvuBUXk=</t>
        </is>
      </c>
      <c r="S3" t="n">
        <v>1</v>
      </c>
    </row>
    <row r="4">
      <c r="A4">
        <f>SRC_Users!A4</f>
        <v/>
      </c>
      <c r="B4">
        <f>SRC_Users!B4</f>
        <v/>
      </c>
      <c r="C4">
        <f>SRC_Users!C4</f>
        <v/>
      </c>
      <c r="D4">
        <f>SRC_Users!D4</f>
        <v/>
      </c>
      <c r="E4">
        <f>IFERROR(LEFT(D4,FIND(" ",D4)-1),D4)</f>
        <v/>
      </c>
      <c r="F4">
        <f>IFERROR(MID(D4,FIND(" ",D4)+1,FIND(" ",D4,FIND(" ",D4)+1)-FIND(" ",D4)-1),"")</f>
        <v/>
      </c>
      <c r="G4">
        <f>IFERROR(MID(D4,FIND(" ",D4,FIND(" ",D4)+1)+1,99),"")</f>
        <v/>
      </c>
      <c r="H4">
        <f>SRC_Users!E4</f>
        <v/>
      </c>
      <c r="I4">
        <f>SRC_Users!F4</f>
        <v/>
      </c>
      <c r="J4">
        <f>SRC_Users!G4</f>
        <v/>
      </c>
      <c r="K4">
        <f>SRC_Users!H4</f>
        <v/>
      </c>
      <c r="L4">
        <f>IF(H4="Франчайзи","Франчайзи",IF(I4=TRUE,"Менеджер",IF(J4=TRUE,"Инженер",IF(K4=TRUE,"Техник-оператор","Оператор"))))</f>
        <v/>
      </c>
      <c r="M4">
        <f>IFERROR(VLOOKUP(L4,REF_UserRole!$A:$B,2,FALSE),"")</f>
        <v/>
      </c>
      <c r="N4">
        <f>IF(L4="Франчайзи","ООО Торговые Аппараты","")</f>
        <v/>
      </c>
      <c r="O4">
        <f>IFERROR(VLOOKUP(N4,REF_Company!$A:$B,2,FALSE),"")</f>
        <v/>
      </c>
      <c r="P4" t="inlineStr">
        <is>
          <t>P@ssw0rd!</t>
        </is>
      </c>
      <c r="Q4" t="inlineStr">
        <is>
          <t>ILfkxgy6TrSvqU06ao00xg==</t>
        </is>
      </c>
      <c r="R4" t="inlineStr">
        <is>
          <t>LDAQiL98NJ5GnJQ01P+0rgP1y6uYJi6LfIukngcz33Q=</t>
        </is>
      </c>
      <c r="S4" t="n">
        <v>1</v>
      </c>
    </row>
    <row r="5">
      <c r="A5">
        <f>SRC_Users!A5</f>
        <v/>
      </c>
      <c r="B5">
        <f>SRC_Users!B5</f>
        <v/>
      </c>
      <c r="C5">
        <f>SRC_Users!C5</f>
        <v/>
      </c>
      <c r="D5">
        <f>SRC_Users!D5</f>
        <v/>
      </c>
      <c r="E5">
        <f>IFERROR(LEFT(D5,FIND(" ",D5)-1),D5)</f>
        <v/>
      </c>
      <c r="F5">
        <f>IFERROR(MID(D5,FIND(" ",D5)+1,FIND(" ",D5,FIND(" ",D5)+1)-FIND(" ",D5)-1),"")</f>
        <v/>
      </c>
      <c r="G5">
        <f>IFERROR(MID(D5,FIND(" ",D5,FIND(" ",D5)+1)+1,99),"")</f>
        <v/>
      </c>
      <c r="H5">
        <f>SRC_Users!E5</f>
        <v/>
      </c>
      <c r="I5">
        <f>SRC_Users!F5</f>
        <v/>
      </c>
      <c r="J5">
        <f>SRC_Users!G5</f>
        <v/>
      </c>
      <c r="K5">
        <f>SRC_Users!H5</f>
        <v/>
      </c>
      <c r="L5">
        <f>IF(H5="Франчайзи","Франчайзи",IF(I5=TRUE,"Менеджер",IF(J5=TRUE,"Инженер",IF(K5=TRUE,"Техник-оператор","Оператор"))))</f>
        <v/>
      </c>
      <c r="M5">
        <f>IFERROR(VLOOKUP(L5,REF_UserRole!$A:$B,2,FALSE),"")</f>
        <v/>
      </c>
      <c r="N5">
        <f>IF(L5="Франчайзи","ООО Торговые Аппараты","")</f>
        <v/>
      </c>
      <c r="O5">
        <f>IFERROR(VLOOKUP(N5,REF_Company!$A:$B,2,FALSE),"")</f>
        <v/>
      </c>
      <c r="P5" t="inlineStr">
        <is>
          <t>P@ssw0rd!</t>
        </is>
      </c>
      <c r="Q5" t="inlineStr">
        <is>
          <t>NYhik8eHTN63+oP6/D+Fsw==</t>
        </is>
      </c>
      <c r="R5" t="inlineStr">
        <is>
          <t>ITszwLzr4NxXrc4D6BLXhncZznmoExwrkU+AIBEKlyc=</t>
        </is>
      </c>
      <c r="S5" t="n">
        <v>1</v>
      </c>
    </row>
    <row r="6">
      <c r="A6">
        <f>SRC_Users!A6</f>
        <v/>
      </c>
      <c r="B6">
        <f>SRC_Users!B6</f>
        <v/>
      </c>
      <c r="C6">
        <f>SRC_Users!C6</f>
        <v/>
      </c>
      <c r="D6">
        <f>SRC_Users!D6</f>
        <v/>
      </c>
      <c r="E6">
        <f>IFERROR(LEFT(D6,FIND(" ",D6)-1),D6)</f>
        <v/>
      </c>
      <c r="F6">
        <f>IFERROR(MID(D6,FIND(" ",D6)+1,FIND(" ",D6,FIND(" ",D6)+1)-FIND(" ",D6)-1),"")</f>
        <v/>
      </c>
      <c r="G6">
        <f>IFERROR(MID(D6,FIND(" ",D6,FIND(" ",D6)+1)+1,99),"")</f>
        <v/>
      </c>
      <c r="H6">
        <f>SRC_Users!E6</f>
        <v/>
      </c>
      <c r="I6">
        <f>SRC_Users!F6</f>
        <v/>
      </c>
      <c r="J6">
        <f>SRC_Users!G6</f>
        <v/>
      </c>
      <c r="K6">
        <f>SRC_Users!H6</f>
        <v/>
      </c>
      <c r="L6">
        <f>IF(H6="Франчайзи","Франчайзи",IF(I6=TRUE,"Менеджер",IF(J6=TRUE,"Инженер",IF(K6=TRUE,"Техник-оператор","Оператор"))))</f>
        <v/>
      </c>
      <c r="M6">
        <f>IFERROR(VLOOKUP(L6,REF_UserRole!$A:$B,2,FALSE),"")</f>
        <v/>
      </c>
      <c r="N6">
        <f>IF(L6="Франчайзи","ООО Торговые Аппараты","")</f>
        <v/>
      </c>
      <c r="O6">
        <f>IFERROR(VLOOKUP(N6,REF_Company!$A:$B,2,FALSE),"")</f>
        <v/>
      </c>
      <c r="P6" t="inlineStr">
        <is>
          <t>P@ssw0rd!</t>
        </is>
      </c>
      <c r="Q6" t="inlineStr">
        <is>
          <t>N5zWm8jARTy4G6Dc9uTIfA==</t>
        </is>
      </c>
      <c r="R6" t="inlineStr">
        <is>
          <t>AhUfX9s1Q3/+3jaChM2P6Joh8Wi85B1hLqKOzxZQTmc=</t>
        </is>
      </c>
      <c r="S6" t="n">
        <v>1</v>
      </c>
    </row>
    <row r="7">
      <c r="A7">
        <f>SRC_Users!A7</f>
        <v/>
      </c>
      <c r="B7">
        <f>SRC_Users!B7</f>
        <v/>
      </c>
      <c r="C7">
        <f>SRC_Users!C7</f>
        <v/>
      </c>
      <c r="D7">
        <f>SRC_Users!D7</f>
        <v/>
      </c>
      <c r="E7">
        <f>IFERROR(LEFT(D7,FIND(" ",D7)-1),D7)</f>
        <v/>
      </c>
      <c r="F7">
        <f>IFERROR(MID(D7,FIND(" ",D7)+1,FIND(" ",D7,FIND(" ",D7)+1)-FIND(" ",D7)-1),"")</f>
        <v/>
      </c>
      <c r="G7">
        <f>IFERROR(MID(D7,FIND(" ",D7,FIND(" ",D7)+1)+1,99),"")</f>
        <v/>
      </c>
      <c r="H7">
        <f>SRC_Users!E7</f>
        <v/>
      </c>
      <c r="I7">
        <f>SRC_Users!F7</f>
        <v/>
      </c>
      <c r="J7">
        <f>SRC_Users!G7</f>
        <v/>
      </c>
      <c r="K7">
        <f>SRC_Users!H7</f>
        <v/>
      </c>
      <c r="L7">
        <f>IF(H7="Франчайзи","Франчайзи",IF(I7=TRUE,"Менеджер",IF(J7=TRUE,"Инженер",IF(K7=TRUE,"Техник-оператор","Оператор"))))</f>
        <v/>
      </c>
      <c r="M7">
        <f>IFERROR(VLOOKUP(L7,REF_UserRole!$A:$B,2,FALSE),"")</f>
        <v/>
      </c>
      <c r="N7">
        <f>IF(L7="Франчайзи","ООО Торговые Аппараты","")</f>
        <v/>
      </c>
      <c r="O7">
        <f>IFERROR(VLOOKUP(N7,REF_Company!$A:$B,2,FALSE),"")</f>
        <v/>
      </c>
      <c r="P7" t="inlineStr">
        <is>
          <t>P@ssw0rd!</t>
        </is>
      </c>
      <c r="Q7" t="inlineStr">
        <is>
          <t>TJRcVKx3QzS/ZMxczHpu0g==</t>
        </is>
      </c>
      <c r="R7" t="inlineStr">
        <is>
          <t>4ayc4NdvyV3fIFhMOzqIV4Ubqj3tjaRyaKPjJq/nfLU=</t>
        </is>
      </c>
      <c r="S7" t="n">
        <v>1</v>
      </c>
    </row>
    <row r="8">
      <c r="A8">
        <f>SRC_Users!A8</f>
        <v/>
      </c>
      <c r="B8">
        <f>SRC_Users!B8</f>
        <v/>
      </c>
      <c r="C8">
        <f>SRC_Users!C8</f>
        <v/>
      </c>
      <c r="D8">
        <f>SRC_Users!D8</f>
        <v/>
      </c>
      <c r="E8">
        <f>IFERROR(LEFT(D8,FIND(" ",D8)-1),D8)</f>
        <v/>
      </c>
      <c r="F8">
        <f>IFERROR(MID(D8,FIND(" ",D8)+1,FIND(" ",D8,FIND(" ",D8)+1)-FIND(" ",D8)-1),"")</f>
        <v/>
      </c>
      <c r="G8">
        <f>IFERROR(MID(D8,FIND(" ",D8,FIND(" ",D8)+1)+1,99),"")</f>
        <v/>
      </c>
      <c r="H8">
        <f>SRC_Users!E8</f>
        <v/>
      </c>
      <c r="I8">
        <f>SRC_Users!F8</f>
        <v/>
      </c>
      <c r="J8">
        <f>SRC_Users!G8</f>
        <v/>
      </c>
      <c r="K8">
        <f>SRC_Users!H8</f>
        <v/>
      </c>
      <c r="L8">
        <f>IF(H8="Франчайзи","Франчайзи",IF(I8=TRUE,"Менеджер",IF(J8=TRUE,"Инженер",IF(K8=TRUE,"Техник-оператор","Оператор"))))</f>
        <v/>
      </c>
      <c r="M8">
        <f>IFERROR(VLOOKUP(L8,REF_UserRole!$A:$B,2,FALSE),"")</f>
        <v/>
      </c>
      <c r="N8">
        <f>IF(L8="Франчайзи","ООО Торговые Аппараты","")</f>
        <v/>
      </c>
      <c r="O8">
        <f>IFERROR(VLOOKUP(N8,REF_Company!$A:$B,2,FALSE),"")</f>
        <v/>
      </c>
      <c r="P8" t="inlineStr">
        <is>
          <t>P@ssw0rd!</t>
        </is>
      </c>
      <c r="Q8" t="inlineStr">
        <is>
          <t>YgDqpGTyRl+Ic+3MMBBbxw==</t>
        </is>
      </c>
      <c r="R8" t="inlineStr">
        <is>
          <t>6ytGQVkjSWzFWAhMEaZQcdnhZR0Kivq2W5SV0m98j3Y=</t>
        </is>
      </c>
      <c r="S8" t="n">
        <v>1</v>
      </c>
    </row>
    <row r="9">
      <c r="A9">
        <f>SRC_Users!A9</f>
        <v/>
      </c>
      <c r="B9">
        <f>SRC_Users!B9</f>
        <v/>
      </c>
      <c r="C9">
        <f>SRC_Users!C9</f>
        <v/>
      </c>
      <c r="D9">
        <f>SRC_Users!D9</f>
        <v/>
      </c>
      <c r="E9">
        <f>IFERROR(LEFT(D9,FIND(" ",D9)-1),D9)</f>
        <v/>
      </c>
      <c r="F9">
        <f>IFERROR(MID(D9,FIND(" ",D9)+1,FIND(" ",D9,FIND(" ",D9)+1)-FIND(" ",D9)-1),"")</f>
        <v/>
      </c>
      <c r="G9">
        <f>IFERROR(MID(D9,FIND(" ",D9,FIND(" ",D9)+1)+1,99),"")</f>
        <v/>
      </c>
      <c r="H9">
        <f>SRC_Users!E9</f>
        <v/>
      </c>
      <c r="I9">
        <f>SRC_Users!F9</f>
        <v/>
      </c>
      <c r="J9">
        <f>SRC_Users!G9</f>
        <v/>
      </c>
      <c r="K9">
        <f>SRC_Users!H9</f>
        <v/>
      </c>
      <c r="L9">
        <f>IF(H9="Франчайзи","Франчайзи",IF(I9=TRUE,"Менеджер",IF(J9=TRUE,"Инженер",IF(K9=TRUE,"Техник-оператор","Оператор"))))</f>
        <v/>
      </c>
      <c r="M9">
        <f>IFERROR(VLOOKUP(L9,REF_UserRole!$A:$B,2,FALSE),"")</f>
        <v/>
      </c>
      <c r="N9">
        <f>IF(L9="Франчайзи","ООО Торговые Аппараты","")</f>
        <v/>
      </c>
      <c r="O9">
        <f>IFERROR(VLOOKUP(N9,REF_Company!$A:$B,2,FALSE),"")</f>
        <v/>
      </c>
      <c r="P9" t="inlineStr">
        <is>
          <t>P@ssw0rd!</t>
        </is>
      </c>
      <c r="Q9" t="inlineStr">
        <is>
          <t>Ysio6qRqSZWHlD9kkIkxWg==</t>
        </is>
      </c>
      <c r="R9" t="inlineStr">
        <is>
          <t>lTUqrZD8AkCCQV4VKz/qtEaZtCmW85eRocFB7aCu/OM=</t>
        </is>
      </c>
      <c r="S9" t="n">
        <v>1</v>
      </c>
    </row>
    <row r="10">
      <c r="A10">
        <f>SRC_Users!A10</f>
        <v/>
      </c>
      <c r="B10">
        <f>SRC_Users!B10</f>
        <v/>
      </c>
      <c r="C10">
        <f>SRC_Users!C10</f>
        <v/>
      </c>
      <c r="D10">
        <f>SRC_Users!D10</f>
        <v/>
      </c>
      <c r="E10">
        <f>IFERROR(LEFT(D10,FIND(" ",D10)-1),D10)</f>
        <v/>
      </c>
      <c r="F10">
        <f>IFERROR(MID(D10,FIND(" ",D10)+1,FIND(" ",D10,FIND(" ",D10)+1)-FIND(" ",D10)-1),"")</f>
        <v/>
      </c>
      <c r="G10">
        <f>IFERROR(MID(D10,FIND(" ",D10,FIND(" ",D10)+1)+1,99),"")</f>
        <v/>
      </c>
      <c r="H10">
        <f>SRC_Users!E10</f>
        <v/>
      </c>
      <c r="I10">
        <f>SRC_Users!F10</f>
        <v/>
      </c>
      <c r="J10">
        <f>SRC_Users!G10</f>
        <v/>
      </c>
      <c r="K10">
        <f>SRC_Users!H10</f>
        <v/>
      </c>
      <c r="L10">
        <f>IF(H10="Франчайзи","Франчайзи",IF(I10=TRUE,"Менеджер",IF(J10=TRUE,"Инженер",IF(K10=TRUE,"Техник-оператор","Оператор"))))</f>
        <v/>
      </c>
      <c r="M10">
        <f>IFERROR(VLOOKUP(L10,REF_UserRole!$A:$B,2,FALSE),"")</f>
        <v/>
      </c>
      <c r="N10">
        <f>IF(L10="Франчайзи","ООО Торговые Аппараты","")</f>
        <v/>
      </c>
      <c r="O10">
        <f>IFERROR(VLOOKUP(N10,REF_Company!$A:$B,2,FALSE),"")</f>
        <v/>
      </c>
      <c r="P10" t="inlineStr">
        <is>
          <t>P@ssw0rd!</t>
        </is>
      </c>
      <c r="Q10" t="inlineStr">
        <is>
          <t>bMz71hHHR0W+OWod+z6kUw==</t>
        </is>
      </c>
      <c r="R10" t="inlineStr">
        <is>
          <t>n0yzLkyXbHqIlFnfc6GXZ5vPf7O7aGWeVxLWbZTBY50=</t>
        </is>
      </c>
      <c r="S10" t="n">
        <v>1</v>
      </c>
    </row>
    <row r="11">
      <c r="A11">
        <f>SRC_Users!A11</f>
        <v/>
      </c>
      <c r="B11">
        <f>SRC_Users!B11</f>
        <v/>
      </c>
      <c r="C11">
        <f>SRC_Users!C11</f>
        <v/>
      </c>
      <c r="D11">
        <f>SRC_Users!D11</f>
        <v/>
      </c>
      <c r="E11">
        <f>IFERROR(LEFT(D11,FIND(" ",D11)-1),D11)</f>
        <v/>
      </c>
      <c r="F11">
        <f>IFERROR(MID(D11,FIND(" ",D11)+1,FIND(" ",D11,FIND(" ",D11)+1)-FIND(" ",D11)-1),"")</f>
        <v/>
      </c>
      <c r="G11">
        <f>IFERROR(MID(D11,FIND(" ",D11,FIND(" ",D11)+1)+1,99),"")</f>
        <v/>
      </c>
      <c r="H11">
        <f>SRC_Users!E11</f>
        <v/>
      </c>
      <c r="I11">
        <f>SRC_Users!F11</f>
        <v/>
      </c>
      <c r="J11">
        <f>SRC_Users!G11</f>
        <v/>
      </c>
      <c r="K11">
        <f>SRC_Users!H11</f>
        <v/>
      </c>
      <c r="L11">
        <f>IF(H11="Франчайзи","Франчайзи",IF(I11=TRUE,"Менеджер",IF(J11=TRUE,"Инженер",IF(K11=TRUE,"Техник-оператор","Оператор"))))</f>
        <v/>
      </c>
      <c r="M11">
        <f>IFERROR(VLOOKUP(L11,REF_UserRole!$A:$B,2,FALSE),"")</f>
        <v/>
      </c>
      <c r="N11">
        <f>IF(L11="Франчайзи","ООО Торговые Аппараты","")</f>
        <v/>
      </c>
      <c r="O11">
        <f>IFERROR(VLOOKUP(N11,REF_Company!$A:$B,2,FALSE),"")</f>
        <v/>
      </c>
      <c r="P11" t="inlineStr">
        <is>
          <t>P@ssw0rd!</t>
        </is>
      </c>
      <c r="Q11" t="inlineStr">
        <is>
          <t>cCB232SIRrqwfPr4Jr6jtQ==</t>
        </is>
      </c>
      <c r="R11" t="inlineStr">
        <is>
          <t>KCHCd0Z0p0AgGzsshEtRJ0jLmp2sZy6sWWnjn3+1IVY=</t>
        </is>
      </c>
      <c r="S11" t="n">
        <v>1</v>
      </c>
    </row>
    <row r="12">
      <c r="A12">
        <f>SRC_Users!A12</f>
        <v/>
      </c>
      <c r="B12">
        <f>SRC_Users!B12</f>
        <v/>
      </c>
      <c r="C12">
        <f>SRC_Users!C12</f>
        <v/>
      </c>
      <c r="D12">
        <f>SRC_Users!D12</f>
        <v/>
      </c>
      <c r="E12">
        <f>IFERROR(LEFT(D12,FIND(" ",D12)-1),D12)</f>
        <v/>
      </c>
      <c r="F12">
        <f>IFERROR(MID(D12,FIND(" ",D12)+1,FIND(" ",D12,FIND(" ",D12)+1)-FIND(" ",D12)-1),"")</f>
        <v/>
      </c>
      <c r="G12">
        <f>IFERROR(MID(D12,FIND(" ",D12,FIND(" ",D12)+1)+1,99),"")</f>
        <v/>
      </c>
      <c r="H12">
        <f>SRC_Users!E12</f>
        <v/>
      </c>
      <c r="I12">
        <f>SRC_Users!F12</f>
        <v/>
      </c>
      <c r="J12">
        <f>SRC_Users!G12</f>
        <v/>
      </c>
      <c r="K12">
        <f>SRC_Users!H12</f>
        <v/>
      </c>
      <c r="L12">
        <f>IF(H12="Франчайзи","Франчайзи",IF(I12=TRUE,"Менеджер",IF(J12=TRUE,"Инженер",IF(K12=TRUE,"Техник-оператор","Оператор"))))</f>
        <v/>
      </c>
      <c r="M12">
        <f>IFERROR(VLOOKUP(L12,REF_UserRole!$A:$B,2,FALSE),"")</f>
        <v/>
      </c>
      <c r="N12">
        <f>IF(L12="Франчайзи","ООО Торговые Аппараты","")</f>
        <v/>
      </c>
      <c r="O12">
        <f>IFERROR(VLOOKUP(N12,REF_Company!$A:$B,2,FALSE),"")</f>
        <v/>
      </c>
      <c r="P12" t="inlineStr">
        <is>
          <t>P@ssw0rd!</t>
        </is>
      </c>
      <c r="Q12" t="inlineStr">
        <is>
          <t>egUSKUC7RD6AuAJMsjn1Kw==</t>
        </is>
      </c>
      <c r="R12" t="inlineStr">
        <is>
          <t>GYCWX7vfH/iYSpqvQZtyMyamagGHAhGjMIuwgoe3+2E=</t>
        </is>
      </c>
      <c r="S12" t="n">
        <v>1</v>
      </c>
    </row>
    <row r="13">
      <c r="A13">
        <f>SRC_Users!A13</f>
        <v/>
      </c>
      <c r="B13">
        <f>SRC_Users!B13</f>
        <v/>
      </c>
      <c r="C13">
        <f>SRC_Users!C13</f>
        <v/>
      </c>
      <c r="D13">
        <f>SRC_Users!D13</f>
        <v/>
      </c>
      <c r="E13">
        <f>IFERROR(LEFT(D13,FIND(" ",D13)-1),D13)</f>
        <v/>
      </c>
      <c r="F13">
        <f>IFERROR(MID(D13,FIND(" ",D13)+1,FIND(" ",D13,FIND(" ",D13)+1)-FIND(" ",D13)-1),"")</f>
        <v/>
      </c>
      <c r="G13">
        <f>IFERROR(MID(D13,FIND(" ",D13,FIND(" ",D13)+1)+1,99),"")</f>
        <v/>
      </c>
      <c r="H13">
        <f>SRC_Users!E13</f>
        <v/>
      </c>
      <c r="I13">
        <f>SRC_Users!F13</f>
        <v/>
      </c>
      <c r="J13">
        <f>SRC_Users!G13</f>
        <v/>
      </c>
      <c r="K13">
        <f>SRC_Users!H13</f>
        <v/>
      </c>
      <c r="L13">
        <f>IF(H13="Франчайзи","Франчайзи",IF(I13=TRUE,"Менеджер",IF(J13=TRUE,"Инженер",IF(K13=TRUE,"Техник-оператор","Оператор"))))</f>
        <v/>
      </c>
      <c r="M13">
        <f>IFERROR(VLOOKUP(L13,REF_UserRole!$A:$B,2,FALSE),"")</f>
        <v/>
      </c>
      <c r="N13">
        <f>IF(L13="Франчайзи","ООО Торговые Аппараты","")</f>
        <v/>
      </c>
      <c r="O13">
        <f>IFERROR(VLOOKUP(N13,REF_Company!$A:$B,2,FALSE),"")</f>
        <v/>
      </c>
      <c r="P13" t="inlineStr">
        <is>
          <t>P@ssw0rd!</t>
        </is>
      </c>
      <c r="Q13" t="inlineStr">
        <is>
          <t>izeF37P8Q+ao9iIbWElg3g==</t>
        </is>
      </c>
      <c r="R13" t="inlineStr">
        <is>
          <t>MCq9iEPJiLAhBNnRrN9nEfEUKuGGIOCX4MTIPz+znyA=</t>
        </is>
      </c>
      <c r="S13" t="n">
        <v>1</v>
      </c>
    </row>
    <row r="14">
      <c r="A14">
        <f>SRC_Users!A14</f>
        <v/>
      </c>
      <c r="B14">
        <f>SRC_Users!B14</f>
        <v/>
      </c>
      <c r="C14">
        <f>SRC_Users!C14</f>
        <v/>
      </c>
      <c r="D14">
        <f>SRC_Users!D14</f>
        <v/>
      </c>
      <c r="E14">
        <f>IFERROR(LEFT(D14,FIND(" ",D14)-1),D14)</f>
        <v/>
      </c>
      <c r="F14">
        <f>IFERROR(MID(D14,FIND(" ",D14)+1,FIND(" ",D14,FIND(" ",D14)+1)-FIND(" ",D14)-1),"")</f>
        <v/>
      </c>
      <c r="G14">
        <f>IFERROR(MID(D14,FIND(" ",D14,FIND(" ",D14)+1)+1,99),"")</f>
        <v/>
      </c>
      <c r="H14">
        <f>SRC_Users!E14</f>
        <v/>
      </c>
      <c r="I14">
        <f>SRC_Users!F14</f>
        <v/>
      </c>
      <c r="J14">
        <f>SRC_Users!G14</f>
        <v/>
      </c>
      <c r="K14">
        <f>SRC_Users!H14</f>
        <v/>
      </c>
      <c r="L14">
        <f>IF(H14="Франчайзи","Франчайзи",IF(I14=TRUE,"Менеджер",IF(J14=TRUE,"Инженер",IF(K14=TRUE,"Техник-оператор","Оператор"))))</f>
        <v/>
      </c>
      <c r="M14">
        <f>IFERROR(VLOOKUP(L14,REF_UserRole!$A:$B,2,FALSE),"")</f>
        <v/>
      </c>
      <c r="N14">
        <f>IF(L14="Франчайзи","ООО Торговые Аппараты","")</f>
        <v/>
      </c>
      <c r="O14">
        <f>IFERROR(VLOOKUP(N14,REF_Company!$A:$B,2,FALSE),"")</f>
        <v/>
      </c>
      <c r="P14" t="inlineStr">
        <is>
          <t>P@ssw0rd!</t>
        </is>
      </c>
      <c r="Q14" t="inlineStr">
        <is>
          <t>rhOhsAvlRg6jYmOPk18ddQ==</t>
        </is>
      </c>
      <c r="R14" t="inlineStr">
        <is>
          <t>uigkpjRpd9z6lxSuvf4l8WfvnLiJfUlvZjIQ1ZA0xV8=</t>
        </is>
      </c>
      <c r="S14" t="n">
        <v>1</v>
      </c>
    </row>
    <row r="15">
      <c r="A15">
        <f>SRC_Users!A15</f>
        <v/>
      </c>
      <c r="B15">
        <f>SRC_Users!B15</f>
        <v/>
      </c>
      <c r="C15">
        <f>SRC_Users!C15</f>
        <v/>
      </c>
      <c r="D15">
        <f>SRC_Users!D15</f>
        <v/>
      </c>
      <c r="E15">
        <f>IFERROR(LEFT(D15,FIND(" ",D15)-1),D15)</f>
        <v/>
      </c>
      <c r="F15">
        <f>IFERROR(MID(D15,FIND(" ",D15)+1,FIND(" ",D15,FIND(" ",D15)+1)-FIND(" ",D15)-1),"")</f>
        <v/>
      </c>
      <c r="G15">
        <f>IFERROR(MID(D15,FIND(" ",D15,FIND(" ",D15)+1)+1,99),"")</f>
        <v/>
      </c>
      <c r="H15">
        <f>SRC_Users!E15</f>
        <v/>
      </c>
      <c r="I15">
        <f>SRC_Users!F15</f>
        <v/>
      </c>
      <c r="J15">
        <f>SRC_Users!G15</f>
        <v/>
      </c>
      <c r="K15">
        <f>SRC_Users!H15</f>
        <v/>
      </c>
      <c r="L15">
        <f>IF(H15="Франчайзи","Франчайзи",IF(I15=TRUE,"Менеджер",IF(J15=TRUE,"Инженер",IF(K15=TRUE,"Техник-оператор","Оператор"))))</f>
        <v/>
      </c>
      <c r="M15">
        <f>IFERROR(VLOOKUP(L15,REF_UserRole!$A:$B,2,FALSE),"")</f>
        <v/>
      </c>
      <c r="N15">
        <f>IF(L15="Франчайзи","ООО Торговые Аппараты","")</f>
        <v/>
      </c>
      <c r="O15">
        <f>IFERROR(VLOOKUP(N15,REF_Company!$A:$B,2,FALSE),"")</f>
        <v/>
      </c>
      <c r="P15" t="inlineStr">
        <is>
          <t>P@ssw0rd!</t>
        </is>
      </c>
      <c r="Q15" t="inlineStr">
        <is>
          <t>r0+8nzfKRf+7lElMNI2Hbw==</t>
        </is>
      </c>
      <c r="R15" t="inlineStr">
        <is>
          <t>Ch4Mz4Ys4VkNSdQN5+hcDjkksC/uer656fuXQ2Lknus=</t>
        </is>
      </c>
      <c r="S15" t="n">
        <v>1</v>
      </c>
    </row>
    <row r="16">
      <c r="A16">
        <f>SRC_Users!A16</f>
        <v/>
      </c>
      <c r="B16">
        <f>SRC_Users!B16</f>
        <v/>
      </c>
      <c r="C16">
        <f>SRC_Users!C16</f>
        <v/>
      </c>
      <c r="D16">
        <f>SRC_Users!D16</f>
        <v/>
      </c>
      <c r="E16">
        <f>IFERROR(LEFT(D16,FIND(" ",D16)-1),D16)</f>
        <v/>
      </c>
      <c r="F16">
        <f>IFERROR(MID(D16,FIND(" ",D16)+1,FIND(" ",D16,FIND(" ",D16)+1)-FIND(" ",D16)-1),"")</f>
        <v/>
      </c>
      <c r="G16">
        <f>IFERROR(MID(D16,FIND(" ",D16,FIND(" ",D16)+1)+1,99),"")</f>
        <v/>
      </c>
      <c r="H16">
        <f>SRC_Users!E16</f>
        <v/>
      </c>
      <c r="I16">
        <f>SRC_Users!F16</f>
        <v/>
      </c>
      <c r="J16">
        <f>SRC_Users!G16</f>
        <v/>
      </c>
      <c r="K16">
        <f>SRC_Users!H16</f>
        <v/>
      </c>
      <c r="L16">
        <f>IF(H16="Франчайзи","Франчайзи",IF(I16=TRUE,"Менеджер",IF(J16=TRUE,"Инженер",IF(K16=TRUE,"Техник-оператор","Оператор"))))</f>
        <v/>
      </c>
      <c r="M16">
        <f>IFERROR(VLOOKUP(L16,REF_UserRole!$A:$B,2,FALSE),"")</f>
        <v/>
      </c>
      <c r="N16">
        <f>IF(L16="Франчайзи","ООО Торговые Аппараты","")</f>
        <v/>
      </c>
      <c r="O16">
        <f>IFERROR(VLOOKUP(N16,REF_Company!$A:$B,2,FALSE),"")</f>
        <v/>
      </c>
      <c r="P16" t="inlineStr">
        <is>
          <t>P@ssw0rd!</t>
        </is>
      </c>
      <c r="Q16" t="inlineStr">
        <is>
          <t>s4tb/qD5SB6yrzxr9DKX0g==</t>
        </is>
      </c>
      <c r="R16" t="inlineStr">
        <is>
          <t>mo9IyOVimz0gnsFMvLQpKNs3WljhWY3TG8PUF0MU32k=</t>
        </is>
      </c>
      <c r="S16" t="n">
        <v>1</v>
      </c>
    </row>
    <row r="17">
      <c r="A17">
        <f>SRC_Users!A17</f>
        <v/>
      </c>
      <c r="B17">
        <f>SRC_Users!B17</f>
        <v/>
      </c>
      <c r="C17">
        <f>SRC_Users!C17</f>
        <v/>
      </c>
      <c r="D17">
        <f>SRC_Users!D17</f>
        <v/>
      </c>
      <c r="E17">
        <f>IFERROR(LEFT(D17,FIND(" ",D17)-1),D17)</f>
        <v/>
      </c>
      <c r="F17">
        <f>IFERROR(MID(D17,FIND(" ",D17)+1,FIND(" ",D17,FIND(" ",D17)+1)-FIND(" ",D17)-1),"")</f>
        <v/>
      </c>
      <c r="G17">
        <f>IFERROR(MID(D17,FIND(" ",D17,FIND(" ",D17)+1)+1,99),"")</f>
        <v/>
      </c>
      <c r="H17">
        <f>SRC_Users!E17</f>
        <v/>
      </c>
      <c r="I17">
        <f>SRC_Users!F17</f>
        <v/>
      </c>
      <c r="J17">
        <f>SRC_Users!G17</f>
        <v/>
      </c>
      <c r="K17">
        <f>SRC_Users!H17</f>
        <v/>
      </c>
      <c r="L17">
        <f>IF(H17="Франчайзи","Франчайзи",IF(I17=TRUE,"Менеджер",IF(J17=TRUE,"Инженер",IF(K17=TRUE,"Техник-оператор","Оператор"))))</f>
        <v/>
      </c>
      <c r="M17">
        <f>IFERROR(VLOOKUP(L17,REF_UserRole!$A:$B,2,FALSE),"")</f>
        <v/>
      </c>
      <c r="N17">
        <f>IF(L17="Франчайзи","ООО Торговые Аппараты","")</f>
        <v/>
      </c>
      <c r="O17">
        <f>IFERROR(VLOOKUP(N17,REF_Company!$A:$B,2,FALSE),"")</f>
        <v/>
      </c>
      <c r="P17" t="inlineStr">
        <is>
          <t>P@ssw0rd!</t>
        </is>
      </c>
      <c r="Q17" t="inlineStr">
        <is>
          <t>xZoH2xfRR2mdXBnAq01DXA==</t>
        </is>
      </c>
      <c r="R17" t="inlineStr">
        <is>
          <t>/VIza/csX4hK/e5I74XADen4Kd486slv87exlGoN+dU=</t>
        </is>
      </c>
      <c r="S17" t="n">
        <v>1</v>
      </c>
    </row>
    <row r="18">
      <c r="A18">
        <f>SRC_Users!A18</f>
        <v/>
      </c>
      <c r="B18">
        <f>SRC_Users!B18</f>
        <v/>
      </c>
      <c r="C18">
        <f>SRC_Users!C18</f>
        <v/>
      </c>
      <c r="D18">
        <f>SRC_Users!D18</f>
        <v/>
      </c>
      <c r="E18">
        <f>IFERROR(LEFT(D18,FIND(" ",D18)-1),D18)</f>
        <v/>
      </c>
      <c r="F18">
        <f>IFERROR(MID(D18,FIND(" ",D18)+1,FIND(" ",D18,FIND(" ",D18)+1)-FIND(" ",D18)-1),"")</f>
        <v/>
      </c>
      <c r="G18">
        <f>IFERROR(MID(D18,FIND(" ",D18,FIND(" ",D18)+1)+1,99),"")</f>
        <v/>
      </c>
      <c r="H18">
        <f>SRC_Users!E18</f>
        <v/>
      </c>
      <c r="I18">
        <f>SRC_Users!F18</f>
        <v/>
      </c>
      <c r="J18">
        <f>SRC_Users!G18</f>
        <v/>
      </c>
      <c r="K18">
        <f>SRC_Users!H18</f>
        <v/>
      </c>
      <c r="L18">
        <f>IF(H18="Франчайзи","Франчайзи",IF(I18=TRUE,"Менеджер",IF(J18=TRUE,"Инженер",IF(K18=TRUE,"Техник-оператор","Оператор"))))</f>
        <v/>
      </c>
      <c r="M18">
        <f>IFERROR(VLOOKUP(L18,REF_UserRole!$A:$B,2,FALSE),"")</f>
        <v/>
      </c>
      <c r="N18">
        <f>IF(L18="Франчайзи","ООО Торговые Аппараты","")</f>
        <v/>
      </c>
      <c r="O18">
        <f>IFERROR(VLOOKUP(N18,REF_Company!$A:$B,2,FALSE),"")</f>
        <v/>
      </c>
      <c r="P18" t="inlineStr">
        <is>
          <t>P@ssw0rd!</t>
        </is>
      </c>
      <c r="Q18" t="inlineStr">
        <is>
          <t>2CpVBTWqQkOHPASI5h1ipQ==</t>
        </is>
      </c>
      <c r="R18" t="inlineStr">
        <is>
          <t>JrGjjVwfN0r6FhjhVJfBKttypw16v3iRMMHAOABcXTI=</t>
        </is>
      </c>
      <c r="S18" t="n">
        <v>1</v>
      </c>
    </row>
    <row r="19">
      <c r="A19">
        <f>SRC_Users!A19</f>
        <v/>
      </c>
      <c r="B19">
        <f>SRC_Users!B19</f>
        <v/>
      </c>
      <c r="C19">
        <f>SRC_Users!C19</f>
        <v/>
      </c>
      <c r="D19">
        <f>SRC_Users!D19</f>
        <v/>
      </c>
      <c r="E19">
        <f>IFERROR(LEFT(D19,FIND(" ",D19)-1),D19)</f>
        <v/>
      </c>
      <c r="F19">
        <f>IFERROR(MID(D19,FIND(" ",D19)+1,FIND(" ",D19,FIND(" ",D19)+1)-FIND(" ",D19)-1),"")</f>
        <v/>
      </c>
      <c r="G19">
        <f>IFERROR(MID(D19,FIND(" ",D19,FIND(" ",D19)+1)+1,99),"")</f>
        <v/>
      </c>
      <c r="H19">
        <f>SRC_Users!E19</f>
        <v/>
      </c>
      <c r="I19">
        <f>SRC_Users!F19</f>
        <v/>
      </c>
      <c r="J19">
        <f>SRC_Users!G19</f>
        <v/>
      </c>
      <c r="K19">
        <f>SRC_Users!H19</f>
        <v/>
      </c>
      <c r="L19">
        <f>IF(H19="Франчайзи","Франчайзи",IF(I19=TRUE,"Менеджер",IF(J19=TRUE,"Инженер",IF(K19=TRUE,"Техник-оператор","Оператор"))))</f>
        <v/>
      </c>
      <c r="M19">
        <f>IFERROR(VLOOKUP(L19,REF_UserRole!$A:$B,2,FALSE),"")</f>
        <v/>
      </c>
      <c r="N19">
        <f>IF(L19="Франчайзи","ООО Торговые Аппараты","")</f>
        <v/>
      </c>
      <c r="O19">
        <f>IFERROR(VLOOKUP(N19,REF_Company!$A:$B,2,FALSE),"")</f>
        <v/>
      </c>
      <c r="P19" t="inlineStr">
        <is>
          <t>P@ssw0rd!</t>
        </is>
      </c>
      <c r="Q19" t="inlineStr">
        <is>
          <t>2jhGghswRmqEgit6f8l+cQ==</t>
        </is>
      </c>
      <c r="R19" t="inlineStr">
        <is>
          <t>CODAA7o34Qi+sDAeTT3rcv1xNqYF+4nVoiXezynY5qQ=</t>
        </is>
      </c>
      <c r="S19" t="n">
        <v>1</v>
      </c>
    </row>
    <row r="20">
      <c r="A20">
        <f>SRC_Users!A20</f>
        <v/>
      </c>
      <c r="B20">
        <f>SRC_Users!B20</f>
        <v/>
      </c>
      <c r="C20">
        <f>SRC_Users!C20</f>
        <v/>
      </c>
      <c r="D20">
        <f>SRC_Users!D20</f>
        <v/>
      </c>
      <c r="E20">
        <f>IFERROR(LEFT(D20,FIND(" ",D20)-1),D20)</f>
        <v/>
      </c>
      <c r="F20">
        <f>IFERROR(MID(D20,FIND(" ",D20)+1,FIND(" ",D20,FIND(" ",D20)+1)-FIND(" ",D20)-1),"")</f>
        <v/>
      </c>
      <c r="G20">
        <f>IFERROR(MID(D20,FIND(" ",D20,FIND(" ",D20)+1)+1,99),"")</f>
        <v/>
      </c>
      <c r="H20">
        <f>SRC_Users!E20</f>
        <v/>
      </c>
      <c r="I20">
        <f>SRC_Users!F20</f>
        <v/>
      </c>
      <c r="J20">
        <f>SRC_Users!G20</f>
        <v/>
      </c>
      <c r="K20">
        <f>SRC_Users!H20</f>
        <v/>
      </c>
      <c r="L20">
        <f>IF(H20="Франчайзи","Франчайзи",IF(I20=TRUE,"Менеджер",IF(J20=TRUE,"Инженер",IF(K20=TRUE,"Техник-оператор","Оператор"))))</f>
        <v/>
      </c>
      <c r="M20">
        <f>IFERROR(VLOOKUP(L20,REF_UserRole!$A:$B,2,FALSE),"")</f>
        <v/>
      </c>
      <c r="N20">
        <f>IF(L20="Франчайзи","ООО Торговые Аппараты","")</f>
        <v/>
      </c>
      <c r="O20">
        <f>IFERROR(VLOOKUP(N20,REF_Company!$A:$B,2,FALSE),"")</f>
        <v/>
      </c>
      <c r="P20" t="inlineStr">
        <is>
          <t>P@ssw0rd!</t>
        </is>
      </c>
      <c r="Q20" t="inlineStr">
        <is>
          <t>7JB2LT49QTq4xbhsk921Lw==</t>
        </is>
      </c>
      <c r="R20" t="inlineStr">
        <is>
          <t>UAzAYwwnGJHMk4pEWZJXKOXRVkMfZeLHCo8CnxyiPKI=</t>
        </is>
      </c>
      <c r="S20" t="n">
        <v>1</v>
      </c>
    </row>
    <row r="21">
      <c r="A21">
        <f>SRC_Users!A21</f>
        <v/>
      </c>
      <c r="B21">
        <f>SRC_Users!B21</f>
        <v/>
      </c>
      <c r="C21">
        <f>SRC_Users!C21</f>
        <v/>
      </c>
      <c r="D21">
        <f>SRC_Users!D21</f>
        <v/>
      </c>
      <c r="E21">
        <f>IFERROR(LEFT(D21,FIND(" ",D21)-1),D21)</f>
        <v/>
      </c>
      <c r="F21">
        <f>IFERROR(MID(D21,FIND(" ",D21)+1,FIND(" ",D21,FIND(" ",D21)+1)-FIND(" ",D21)-1),"")</f>
        <v/>
      </c>
      <c r="G21">
        <f>IFERROR(MID(D21,FIND(" ",D21,FIND(" ",D21)+1)+1,99),"")</f>
        <v/>
      </c>
      <c r="H21">
        <f>SRC_Users!E21</f>
        <v/>
      </c>
      <c r="I21">
        <f>SRC_Users!F21</f>
        <v/>
      </c>
      <c r="J21">
        <f>SRC_Users!G21</f>
        <v/>
      </c>
      <c r="K21">
        <f>SRC_Users!H21</f>
        <v/>
      </c>
      <c r="L21">
        <f>IF(H21="Франчайзи","Франчайзи",IF(I21=TRUE,"Менеджер",IF(J21=TRUE,"Инженер",IF(K21=TRUE,"Техник-оператор","Оператор"))))</f>
        <v/>
      </c>
      <c r="M21">
        <f>IFERROR(VLOOKUP(L21,REF_UserRole!$A:$B,2,FALSE),"")</f>
        <v/>
      </c>
      <c r="N21">
        <f>IF(L21="Франчайзи","ООО Торговые Аппараты","")</f>
        <v/>
      </c>
      <c r="O21">
        <f>IFERROR(VLOOKUP(N21,REF_Company!$A:$B,2,FALSE),"")</f>
        <v/>
      </c>
      <c r="P21" t="inlineStr">
        <is>
          <t>P@ssw0rd!</t>
        </is>
      </c>
      <c r="Q21" t="inlineStr">
        <is>
          <t>+eOKARN9RU6T/mpzb8sG5Q==</t>
        </is>
      </c>
      <c r="R21" t="inlineStr">
        <is>
          <t>S4a7IoXoH4JyRtbF15RKBZN/oyYPeXQs02+jG6lPTaQ=</t>
        </is>
      </c>
      <c r="S21" t="n">
        <v>1</v>
      </c>
    </row>
  </sheetData>
  <autoFilter ref="A1:T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48" customWidth="1" min="5" max="5"/>
    <col width="48" customWidth="1" min="6" max="6"/>
    <col width="14" customWidth="1" min="7" max="7"/>
    <col width="48" customWidth="1" min="8" max="8"/>
    <col width="13" customWidth="1" min="9" max="9"/>
    <col width="48" customWidth="1" min="10" max="10"/>
    <col width="14" customWidth="1" min="11" max="11"/>
    <col width="48" customWidth="1" min="12" max="12"/>
    <col width="14" customWidth="1" min="13" max="13"/>
    <col width="48" customWidth="1" min="14" max="14"/>
    <col width="14" customWidth="1" min="15" max="15"/>
    <col width="48" customWidth="1" min="16" max="16"/>
    <col width="48" customWidth="1" min="17" max="17"/>
    <col width="21" customWidth="1" min="18" max="18"/>
    <col width="48" customWidth="1" min="19" max="19"/>
    <col width="21" customWidth="1" min="20" max="20"/>
    <col width="48" customWidth="1" min="21" max="21"/>
    <col width="15" customWidth="1" min="22" max="22"/>
    <col width="48" customWidth="1" min="23" max="23"/>
    <col width="13" customWidth="1" min="24" max="24"/>
    <col width="13" customWidth="1" min="25" max="25"/>
    <col width="48" customWidth="1" min="26" max="26"/>
    <col width="48" customWidth="1" min="27" max="27"/>
    <col width="33" customWidth="1" min="28" max="28"/>
    <col width="48" customWidth="1" min="29" max="29"/>
    <col width="48" customWidth="1" min="30" max="30"/>
    <col width="48" customWidth="1" min="31" max="31"/>
    <col width="48" customWidth="1" min="32" max="32"/>
    <col width="48" customWidth="1" min="33" max="33"/>
    <col width="48" customWidth="1" min="34" max="34"/>
    <col width="17" customWidth="1" min="35" max="35"/>
    <col width="48" customWidth="1" min="36" max="36"/>
    <col width="18" customWidth="1" min="37" max="37"/>
    <col width="48" customWidth="1" min="38" max="38"/>
    <col width="20" customWidth="1" min="39" max="39"/>
    <col width="48" customWidth="1" min="40" max="40"/>
    <col width="25" customWidth="1" min="41" max="41"/>
    <col width="13" customWidth="1" min="42" max="42"/>
    <col width="16" customWidth="1" min="43" max="43"/>
    <col width="13" customWidth="1" min="44" max="44"/>
    <col width="33" customWidth="1" min="45" max="45"/>
  </cols>
  <sheetData>
    <row r="1">
      <c r="A1" s="2" t="inlineStr">
        <is>
          <t>ExternalId</t>
        </is>
      </c>
      <c r="B1" s="2" t="inlineStr">
        <is>
          <t>Name</t>
        </is>
      </c>
      <c r="C1" s="2" t="inlineStr">
        <is>
          <t>SerialNumber</t>
        </is>
      </c>
      <c r="D1" s="2" t="inlineStr">
        <is>
          <t>InventoryNumber</t>
        </is>
      </c>
      <c r="E1" s="2" t="inlineStr">
        <is>
          <t>ManufacturerName</t>
        </is>
      </c>
      <c r="F1" s="2" t="inlineStr">
        <is>
          <t>ModelName</t>
        </is>
      </c>
      <c r="G1" s="2" t="inlineStr">
        <is>
          <t>ModelKey</t>
        </is>
      </c>
      <c r="H1" s="2" t="inlineStr">
        <is>
          <t>VendingMachineModelId</t>
        </is>
      </c>
      <c r="I1" s="2" t="inlineStr">
        <is>
          <t>CompanyName</t>
        </is>
      </c>
      <c r="J1" s="2" t="inlineStr">
        <is>
          <t>CompanyId</t>
        </is>
      </c>
      <c r="K1" s="2" t="inlineStr">
        <is>
          <t>WorkModeName</t>
        </is>
      </c>
      <c r="L1" s="2" t="inlineStr">
        <is>
          <t>WorkModeId</t>
        </is>
      </c>
      <c r="M1" s="2" t="inlineStr">
        <is>
          <t>TimeZoneName</t>
        </is>
      </c>
      <c r="N1" s="2" t="inlineStr">
        <is>
          <t>TimeZoneId</t>
        </is>
      </c>
      <c r="O1" s="2" t="inlineStr">
        <is>
          <t>SourceStatus</t>
        </is>
      </c>
      <c r="P1" s="2" t="inlineStr">
        <is>
          <t>StatusDbName</t>
        </is>
      </c>
      <c r="Q1" s="2" t="inlineStr">
        <is>
          <t>VendingMachineStatusId</t>
        </is>
      </c>
      <c r="R1" s="2" t="inlineStr">
        <is>
          <t>ServicePriorityName</t>
        </is>
      </c>
      <c r="S1" s="2" t="inlineStr">
        <is>
          <t>ServicePriorityId</t>
        </is>
      </c>
      <c r="T1" s="2" t="inlineStr">
        <is>
          <t>ProductMatrixNameDb</t>
        </is>
      </c>
      <c r="U1" s="2" t="inlineStr">
        <is>
          <t>ProductMatrixId</t>
        </is>
      </c>
      <c r="V1" s="2" t="inlineStr">
        <is>
          <t>CountryNameDb</t>
        </is>
      </c>
      <c r="W1" s="2" t="inlineStr">
        <is>
          <t>CountryId</t>
        </is>
      </c>
      <c r="X1" s="2" t="inlineStr">
        <is>
          <t>Address</t>
        </is>
      </c>
      <c r="Y1" s="2" t="inlineStr">
        <is>
          <t>Place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InstallDate</t>
        </is>
      </c>
      <c r="AC1" s="2" t="inlineStr">
        <is>
          <t>WorkingTimeFrom</t>
        </is>
      </c>
      <c r="AD1" s="2" t="inlineStr">
        <is>
          <t>WorkingTimeTo</t>
        </is>
      </c>
      <c r="AE1" s="2" t="inlineStr">
        <is>
          <t>CriticalTemplateNameDb</t>
        </is>
      </c>
      <c r="AF1" s="2" t="inlineStr">
        <is>
          <t>CriticalValuesTemplateId</t>
        </is>
      </c>
      <c r="AG1" s="2" t="inlineStr">
        <is>
          <t>NotificationTemplateNameDb</t>
        </is>
      </c>
      <c r="AH1" s="2" t="inlineStr">
        <is>
          <t>NotificationTemplateId</t>
        </is>
      </c>
      <c r="AI1" s="2" t="inlineStr">
        <is>
          <t>ManagerFullName</t>
        </is>
      </c>
      <c r="AJ1" s="2" t="inlineStr">
        <is>
          <t>ManagerUserAccountId</t>
        </is>
      </c>
      <c r="AK1" s="2" t="inlineStr">
        <is>
          <t>EngineerFullName</t>
        </is>
      </c>
      <c r="AL1" s="2" t="inlineStr">
        <is>
          <t>EngineerUserAccountId</t>
        </is>
      </c>
      <c r="AM1" s="2" t="inlineStr">
        <is>
          <t>TechnicianFullName</t>
        </is>
      </c>
      <c r="AN1" s="2" t="inlineStr">
        <is>
          <t>TechnicianUserAccountId</t>
        </is>
      </c>
      <c r="AO1" s="2" t="inlineStr">
        <is>
          <t>KitOnlineCashRegisterId</t>
        </is>
      </c>
      <c r="AP1" s="2" t="inlineStr">
        <is>
          <t>Notes</t>
        </is>
      </c>
      <c r="AQ1" s="2" t="inlineStr">
        <is>
          <t>PaymentTypeRaw</t>
        </is>
      </c>
      <c r="AR1" s="2" t="inlineStr">
        <is>
          <t>OperatorRaw</t>
        </is>
      </c>
      <c r="AS1" s="2" t="inlineStr">
        <is>
          <t>TotalIncome</t>
        </is>
      </c>
    </row>
    <row r="2">
      <c r="A2">
        <f>SRC_VM!T2</f>
        <v/>
      </c>
      <c r="B2">
        <f>SRC_VM!B2</f>
        <v/>
      </c>
      <c r="C2">
        <f>SRC_VM!A2</f>
        <v/>
      </c>
      <c r="D2">
        <f>"INV-"&amp;C2</f>
        <v/>
      </c>
      <c r="E2">
        <f>IFERROR(LEFT(SRC_VM!I2,FIND(" ",SRC_VM!I2)-1),SRC_VM!I2)</f>
        <v/>
      </c>
      <c r="F2">
        <f>IFERROR(MID(SRC_VM!I2,FIND(" ",SRC_VM!I2)+1,255),"")</f>
        <v/>
      </c>
      <c r="G2">
        <f>E2&amp;"|"&amp;F2</f>
        <v/>
      </c>
      <c r="H2">
        <f>IFERROR(VLOOKUP(G2,REF_VMModel!$A:$B,2,FALSE),"")</f>
        <v/>
      </c>
      <c r="I2">
        <f>SRC_VM!K2</f>
        <v/>
      </c>
      <c r="J2">
        <f>IFERROR(VLOOKUP(I2,REF_Company!$A:$B,2,FALSE),"")</f>
        <v/>
      </c>
      <c r="K2">
        <f>SRC_VM!G2</f>
        <v/>
      </c>
      <c r="L2">
        <f>IFERROR(VLOOKUP(K2,REF_WorkMode!$A:$B,2,FALSE),"")</f>
        <v/>
      </c>
      <c r="M2">
        <f>SRC_VM!AC2</f>
        <v/>
      </c>
      <c r="N2">
        <f>IFERROR(VLOOKUP(M2,REF_TimeZone!$A:$B,2,FALSE),"")</f>
        <v/>
      </c>
      <c r="O2">
        <f>SRC_VM!P2</f>
        <v/>
      </c>
      <c r="P2">
        <f>IFERROR(VLOOKUP(O2,MAP_Status!$A:$B,2,FALSE),O2)</f>
        <v/>
      </c>
      <c r="Q2">
        <f>IFERROR(VLOOKUP(P2,REF_VMStatus!$A:$B,2,FALSE),"")</f>
        <v/>
      </c>
      <c r="R2">
        <f>SRC_VM!N2</f>
        <v/>
      </c>
      <c r="S2">
        <f>IFERROR(VLOOKUP(R2,REF_ServicePriority!$A:$B,2,FALSE),"")</f>
        <v/>
      </c>
      <c r="T2" t="inlineStr">
        <is>
          <t>Не установлена</t>
        </is>
      </c>
      <c r="U2">
        <f>IFERROR(VLOOKUP(T2,REF_ProductMatrix!$A:$B,2,FALSE),"")</f>
        <v/>
      </c>
      <c r="V2" t="inlineStr">
        <is>
          <t>Россия</t>
        </is>
      </c>
      <c r="W2">
        <f>IFERROR(VLOOKUP(V2,REF_Country!$A:$B,2,FALSE),"")</f>
        <v/>
      </c>
      <c r="X2">
        <f>SRC_VM!F2</f>
        <v/>
      </c>
      <c r="Y2">
        <f>SRC_VM!V2</f>
        <v/>
      </c>
      <c r="Z2">
        <f>IFERROR(VALUE(TRIM(LEFT(SRC_VM!AA2,FIND(",",SRC_VM!AA2)-1))),"")</f>
        <v/>
      </c>
      <c r="AA2">
        <f>IFERROR(VALUE(TRIM(MID(SRC_VM!AA2,FIND(",",SRC_VM!AA2)+1,255))),"")</f>
        <v/>
      </c>
      <c r="AB2" s="4">
        <f>DATEVALUE(LEFT(SRC_VM!U2,10))</f>
        <v/>
      </c>
      <c r="AC2" s="5">
        <f>IFERROR(TIMEVALUE(TRIM(LEFT(SRC_VM!R2,FIND("-",SRC_VM!R2)-1))),"")</f>
        <v/>
      </c>
      <c r="AD2" s="5">
        <f>IFERROR(TIMEVALUE(TRIM(MID(SRC_VM!R2,FIND("-",SRC_VM!R2)+1,255))),"")</f>
        <v/>
      </c>
      <c r="AE2">
        <f>IF(TRIM(SRC_VM!M2)="","Не установлен",SRC_VM!M2)</f>
        <v/>
      </c>
      <c r="AF2">
        <f>IFERROR(VLOOKUP(AE2,REF_CriticalTemplate!$A:$B,2,FALSE),"")</f>
        <v/>
      </c>
      <c r="AG2">
        <f>IF(TRIM(SRC_VM!Q2)="","Не установлен",SRC_VM!Q2)</f>
        <v/>
      </c>
      <c r="AH2">
        <f>IFERROR(VLOOKUP(AG2,REF_NotificationTemplate!$A:$B,2,FALSE),"")</f>
        <v/>
      </c>
      <c r="AI2">
        <f>SRC_VM!O2</f>
        <v/>
      </c>
      <c r="AJ2">
        <f>IFERROR(VLOOKUP(AI2,REF_UserByName!$A:$B,2,FALSE),"")</f>
        <v/>
      </c>
      <c r="AK2">
        <f>SRC_VM!S2</f>
        <v/>
      </c>
      <c r="AL2">
        <f>IFERROR(VLOOKUP(AK2,REF_UserByName!$A:$B,2,FALSE),"")</f>
        <v/>
      </c>
      <c r="AM2">
        <f>SRC_VM!X2</f>
        <v/>
      </c>
      <c r="AN2">
        <f>IFERROR(VLOOKUP(AM2,REF_UserByName!$A:$B,2,FALSE),"")</f>
        <v/>
      </c>
      <c r="AO2">
        <f>SRC_VM!J2</f>
        <v/>
      </c>
      <c r="AP2">
        <f>SRC_VM!E2</f>
        <v/>
      </c>
      <c r="AQ2">
        <f>SRC_VM!L2</f>
        <v/>
      </c>
      <c r="AR2">
        <f>SRC_VM!W2</f>
        <v/>
      </c>
      <c r="AS2">
        <f>IFERROR(VALUE(SRC_VM!AB2),"")</f>
        <v/>
      </c>
    </row>
    <row r="3">
      <c r="A3">
        <f>SRC_VM!T3</f>
        <v/>
      </c>
      <c r="B3">
        <f>SRC_VM!B3</f>
        <v/>
      </c>
      <c r="C3">
        <f>SRC_VM!A3</f>
        <v/>
      </c>
      <c r="D3">
        <f>"INV-"&amp;C3</f>
        <v/>
      </c>
      <c r="E3">
        <f>IFERROR(LEFT(SRC_VM!I3,FIND(" ",SRC_VM!I3)-1),SRC_VM!I3)</f>
        <v/>
      </c>
      <c r="F3">
        <f>IFERROR(MID(SRC_VM!I3,FIND(" ",SRC_VM!I3)+1,255),"")</f>
        <v/>
      </c>
      <c r="G3">
        <f>E3&amp;"|"&amp;F3</f>
        <v/>
      </c>
      <c r="H3">
        <f>IFERROR(VLOOKUP(G3,REF_VMModel!$A:$B,2,FALSE),"")</f>
        <v/>
      </c>
      <c r="I3">
        <f>SRC_VM!K3</f>
        <v/>
      </c>
      <c r="J3">
        <f>IFERROR(VLOOKUP(I3,REF_Company!$A:$B,2,FALSE),"")</f>
        <v/>
      </c>
      <c r="K3">
        <f>SRC_VM!G3</f>
        <v/>
      </c>
      <c r="L3">
        <f>IFERROR(VLOOKUP(K3,REF_WorkMode!$A:$B,2,FALSE),"")</f>
        <v/>
      </c>
      <c r="M3">
        <f>SRC_VM!AC3</f>
        <v/>
      </c>
      <c r="N3">
        <f>IFERROR(VLOOKUP(M3,REF_TimeZone!$A:$B,2,FALSE),"")</f>
        <v/>
      </c>
      <c r="O3">
        <f>SRC_VM!P3</f>
        <v/>
      </c>
      <c r="P3">
        <f>IFERROR(VLOOKUP(O3,MAP_Status!$A:$B,2,FALSE),O3)</f>
        <v/>
      </c>
      <c r="Q3">
        <f>IFERROR(VLOOKUP(P3,REF_VMStatus!$A:$B,2,FALSE),"")</f>
        <v/>
      </c>
      <c r="R3">
        <f>SRC_VM!N3</f>
        <v/>
      </c>
      <c r="S3">
        <f>IFERROR(VLOOKUP(R3,REF_ServicePriority!$A:$B,2,FALSE),"")</f>
        <v/>
      </c>
      <c r="T3" t="inlineStr">
        <is>
          <t>Не установлена</t>
        </is>
      </c>
      <c r="U3">
        <f>IFERROR(VLOOKUP(T3,REF_ProductMatrix!$A:$B,2,FALSE),"")</f>
        <v/>
      </c>
      <c r="V3" t="inlineStr">
        <is>
          <t>Россия</t>
        </is>
      </c>
      <c r="W3">
        <f>IFERROR(VLOOKUP(V3,REF_Country!$A:$B,2,FALSE),"")</f>
        <v/>
      </c>
      <c r="X3">
        <f>SRC_VM!F3</f>
        <v/>
      </c>
      <c r="Y3">
        <f>SRC_VM!V3</f>
        <v/>
      </c>
      <c r="Z3">
        <f>IFERROR(VALUE(TRIM(LEFT(SRC_VM!AA3,FIND(",",SRC_VM!AA3)-1))),"")</f>
        <v/>
      </c>
      <c r="AA3">
        <f>IFERROR(VALUE(TRIM(MID(SRC_VM!AA3,FIND(",",SRC_VM!AA3)+1,255))),"")</f>
        <v/>
      </c>
      <c r="AB3" s="4">
        <f>DATEVALUE(LEFT(SRC_VM!U3,10))</f>
        <v/>
      </c>
      <c r="AC3" s="5">
        <f>IFERROR(TIMEVALUE(TRIM(LEFT(SRC_VM!R3,FIND("-",SRC_VM!R3)-1))),"")</f>
        <v/>
      </c>
      <c r="AD3" s="5">
        <f>IFERROR(TIMEVALUE(TRIM(MID(SRC_VM!R3,FIND("-",SRC_VM!R3)+1,255))),"")</f>
        <v/>
      </c>
      <c r="AE3">
        <f>IF(TRIM(SRC_VM!M3)="","Не установлен",SRC_VM!M3)</f>
        <v/>
      </c>
      <c r="AF3">
        <f>IFERROR(VLOOKUP(AE3,REF_CriticalTemplate!$A:$B,2,FALSE),"")</f>
        <v/>
      </c>
      <c r="AG3">
        <f>IF(TRIM(SRC_VM!Q3)="","Не установлен",SRC_VM!Q3)</f>
        <v/>
      </c>
      <c r="AH3">
        <f>IFERROR(VLOOKUP(AG3,REF_NotificationTemplate!$A:$B,2,FALSE),"")</f>
        <v/>
      </c>
      <c r="AI3">
        <f>SRC_VM!O3</f>
        <v/>
      </c>
      <c r="AJ3">
        <f>IFERROR(VLOOKUP(AI3,REF_UserByName!$A:$B,2,FALSE),"")</f>
        <v/>
      </c>
      <c r="AK3">
        <f>SRC_VM!S3</f>
        <v/>
      </c>
      <c r="AL3">
        <f>IFERROR(VLOOKUP(AK3,REF_UserByName!$A:$B,2,FALSE),"")</f>
        <v/>
      </c>
      <c r="AM3">
        <f>SRC_VM!X3</f>
        <v/>
      </c>
      <c r="AN3">
        <f>IFERROR(VLOOKUP(AM3,REF_UserByName!$A:$B,2,FALSE),"")</f>
        <v/>
      </c>
      <c r="AO3">
        <f>SRC_VM!J3</f>
        <v/>
      </c>
      <c r="AP3">
        <f>SRC_VM!E3</f>
        <v/>
      </c>
      <c r="AQ3">
        <f>SRC_VM!L3</f>
        <v/>
      </c>
      <c r="AR3">
        <f>SRC_VM!W3</f>
        <v/>
      </c>
      <c r="AS3">
        <f>IFERROR(VALUE(SRC_VM!AB3),"")</f>
        <v/>
      </c>
    </row>
    <row r="4">
      <c r="A4">
        <f>SRC_VM!T4</f>
        <v/>
      </c>
      <c r="B4">
        <f>SRC_VM!B4</f>
        <v/>
      </c>
      <c r="C4">
        <f>SRC_VM!A4</f>
        <v/>
      </c>
      <c r="D4">
        <f>"INV-"&amp;C4</f>
        <v/>
      </c>
      <c r="E4">
        <f>IFERROR(LEFT(SRC_VM!I4,FIND(" ",SRC_VM!I4)-1),SRC_VM!I4)</f>
        <v/>
      </c>
      <c r="F4">
        <f>IFERROR(MID(SRC_VM!I4,FIND(" ",SRC_VM!I4)+1,255),"")</f>
        <v/>
      </c>
      <c r="G4">
        <f>E4&amp;"|"&amp;F4</f>
        <v/>
      </c>
      <c r="H4">
        <f>IFERROR(VLOOKUP(G4,REF_VMModel!$A:$B,2,FALSE),"")</f>
        <v/>
      </c>
      <c r="I4">
        <f>SRC_VM!K4</f>
        <v/>
      </c>
      <c r="J4">
        <f>IFERROR(VLOOKUP(I4,REF_Company!$A:$B,2,FALSE),"")</f>
        <v/>
      </c>
      <c r="K4">
        <f>SRC_VM!G4</f>
        <v/>
      </c>
      <c r="L4">
        <f>IFERROR(VLOOKUP(K4,REF_WorkMode!$A:$B,2,FALSE),"")</f>
        <v/>
      </c>
      <c r="M4">
        <f>SRC_VM!AC4</f>
        <v/>
      </c>
      <c r="N4">
        <f>IFERROR(VLOOKUP(M4,REF_TimeZone!$A:$B,2,FALSE),"")</f>
        <v/>
      </c>
      <c r="O4">
        <f>SRC_VM!P4</f>
        <v/>
      </c>
      <c r="P4">
        <f>IFERROR(VLOOKUP(O4,MAP_Status!$A:$B,2,FALSE),O4)</f>
        <v/>
      </c>
      <c r="Q4">
        <f>IFERROR(VLOOKUP(P4,REF_VMStatus!$A:$B,2,FALSE),"")</f>
        <v/>
      </c>
      <c r="R4">
        <f>SRC_VM!N4</f>
        <v/>
      </c>
      <c r="S4">
        <f>IFERROR(VLOOKUP(R4,REF_ServicePriority!$A:$B,2,FALSE),"")</f>
        <v/>
      </c>
      <c r="T4" t="inlineStr">
        <is>
          <t>Не установлена</t>
        </is>
      </c>
      <c r="U4">
        <f>IFERROR(VLOOKUP(T4,REF_ProductMatrix!$A:$B,2,FALSE),"")</f>
        <v/>
      </c>
      <c r="V4" t="inlineStr">
        <is>
          <t>Россия</t>
        </is>
      </c>
      <c r="W4">
        <f>IFERROR(VLOOKUP(V4,REF_Country!$A:$B,2,FALSE),"")</f>
        <v/>
      </c>
      <c r="X4">
        <f>SRC_VM!F4</f>
        <v/>
      </c>
      <c r="Y4">
        <f>SRC_VM!V4</f>
        <v/>
      </c>
      <c r="Z4">
        <f>IFERROR(VALUE(TRIM(LEFT(SRC_VM!AA4,FIND(",",SRC_VM!AA4)-1))),"")</f>
        <v/>
      </c>
      <c r="AA4">
        <f>IFERROR(VALUE(TRIM(MID(SRC_VM!AA4,FIND(",",SRC_VM!AA4)+1,255))),"")</f>
        <v/>
      </c>
      <c r="AB4" s="4">
        <f>DATEVALUE(LEFT(SRC_VM!U4,10))</f>
        <v/>
      </c>
      <c r="AC4" s="5">
        <f>IFERROR(TIMEVALUE(TRIM(LEFT(SRC_VM!R4,FIND("-",SRC_VM!R4)-1))),"")</f>
        <v/>
      </c>
      <c r="AD4" s="5">
        <f>IFERROR(TIMEVALUE(TRIM(MID(SRC_VM!R4,FIND("-",SRC_VM!R4)+1,255))),"")</f>
        <v/>
      </c>
      <c r="AE4">
        <f>IF(TRIM(SRC_VM!M4)="","Не установлен",SRC_VM!M4)</f>
        <v/>
      </c>
      <c r="AF4">
        <f>IFERROR(VLOOKUP(AE4,REF_CriticalTemplate!$A:$B,2,FALSE),"")</f>
        <v/>
      </c>
      <c r="AG4">
        <f>IF(TRIM(SRC_VM!Q4)="","Не установлен",SRC_VM!Q4)</f>
        <v/>
      </c>
      <c r="AH4">
        <f>IFERROR(VLOOKUP(AG4,REF_NotificationTemplate!$A:$B,2,FALSE),"")</f>
        <v/>
      </c>
      <c r="AI4">
        <f>SRC_VM!O4</f>
        <v/>
      </c>
      <c r="AJ4">
        <f>IFERROR(VLOOKUP(AI4,REF_UserByName!$A:$B,2,FALSE),"")</f>
        <v/>
      </c>
      <c r="AK4">
        <f>SRC_VM!S4</f>
        <v/>
      </c>
      <c r="AL4">
        <f>IFERROR(VLOOKUP(AK4,REF_UserByName!$A:$B,2,FALSE),"")</f>
        <v/>
      </c>
      <c r="AM4">
        <f>SRC_VM!X4</f>
        <v/>
      </c>
      <c r="AN4">
        <f>IFERROR(VLOOKUP(AM4,REF_UserByName!$A:$B,2,FALSE),"")</f>
        <v/>
      </c>
      <c r="AO4">
        <f>SRC_VM!J4</f>
        <v/>
      </c>
      <c r="AP4">
        <f>SRC_VM!E4</f>
        <v/>
      </c>
      <c r="AQ4">
        <f>SRC_VM!L4</f>
        <v/>
      </c>
      <c r="AR4">
        <f>SRC_VM!W4</f>
        <v/>
      </c>
      <c r="AS4">
        <f>IFERROR(VALUE(SRC_VM!AB4),"")</f>
        <v/>
      </c>
    </row>
    <row r="5">
      <c r="A5">
        <f>SRC_VM!T5</f>
        <v/>
      </c>
      <c r="B5">
        <f>SRC_VM!B5</f>
        <v/>
      </c>
      <c r="C5">
        <f>SRC_VM!A5</f>
        <v/>
      </c>
      <c r="D5">
        <f>"INV-"&amp;C5</f>
        <v/>
      </c>
      <c r="E5">
        <f>IFERROR(LEFT(SRC_VM!I5,FIND(" ",SRC_VM!I5)-1),SRC_VM!I5)</f>
        <v/>
      </c>
      <c r="F5">
        <f>IFERROR(MID(SRC_VM!I5,FIND(" ",SRC_VM!I5)+1,255),"")</f>
        <v/>
      </c>
      <c r="G5">
        <f>E5&amp;"|"&amp;F5</f>
        <v/>
      </c>
      <c r="H5">
        <f>IFERROR(VLOOKUP(G5,REF_VMModel!$A:$B,2,FALSE),"")</f>
        <v/>
      </c>
      <c r="I5">
        <f>SRC_VM!K5</f>
        <v/>
      </c>
      <c r="J5">
        <f>IFERROR(VLOOKUP(I5,REF_Company!$A:$B,2,FALSE),"")</f>
        <v/>
      </c>
      <c r="K5">
        <f>SRC_VM!G5</f>
        <v/>
      </c>
      <c r="L5">
        <f>IFERROR(VLOOKUP(K5,REF_WorkMode!$A:$B,2,FALSE),"")</f>
        <v/>
      </c>
      <c r="M5">
        <f>SRC_VM!AC5</f>
        <v/>
      </c>
      <c r="N5">
        <f>IFERROR(VLOOKUP(M5,REF_TimeZone!$A:$B,2,FALSE),"")</f>
        <v/>
      </c>
      <c r="O5">
        <f>SRC_VM!P5</f>
        <v/>
      </c>
      <c r="P5">
        <f>IFERROR(VLOOKUP(O5,MAP_Status!$A:$B,2,FALSE),O5)</f>
        <v/>
      </c>
      <c r="Q5">
        <f>IFERROR(VLOOKUP(P5,REF_VMStatus!$A:$B,2,FALSE),"")</f>
        <v/>
      </c>
      <c r="R5">
        <f>SRC_VM!N5</f>
        <v/>
      </c>
      <c r="S5">
        <f>IFERROR(VLOOKUP(R5,REF_ServicePriority!$A:$B,2,FALSE),"")</f>
        <v/>
      </c>
      <c r="T5" t="inlineStr">
        <is>
          <t>Не установлена</t>
        </is>
      </c>
      <c r="U5">
        <f>IFERROR(VLOOKUP(T5,REF_ProductMatrix!$A:$B,2,FALSE),"")</f>
        <v/>
      </c>
      <c r="V5" t="inlineStr">
        <is>
          <t>Россия</t>
        </is>
      </c>
      <c r="W5">
        <f>IFERROR(VLOOKUP(V5,REF_Country!$A:$B,2,FALSE),"")</f>
        <v/>
      </c>
      <c r="X5">
        <f>SRC_VM!F5</f>
        <v/>
      </c>
      <c r="Y5">
        <f>SRC_VM!V5</f>
        <v/>
      </c>
      <c r="Z5">
        <f>IFERROR(VALUE(TRIM(LEFT(SRC_VM!AA5,FIND(",",SRC_VM!AA5)-1))),"")</f>
        <v/>
      </c>
      <c r="AA5">
        <f>IFERROR(VALUE(TRIM(MID(SRC_VM!AA5,FIND(",",SRC_VM!AA5)+1,255))),"")</f>
        <v/>
      </c>
      <c r="AB5" s="4">
        <f>DATEVALUE(LEFT(SRC_VM!U5,10))</f>
        <v/>
      </c>
      <c r="AC5" s="5">
        <f>IFERROR(TIMEVALUE(TRIM(LEFT(SRC_VM!R5,FIND("-",SRC_VM!R5)-1))),"")</f>
        <v/>
      </c>
      <c r="AD5" s="5">
        <f>IFERROR(TIMEVALUE(TRIM(MID(SRC_VM!R5,FIND("-",SRC_VM!R5)+1,255))),"")</f>
        <v/>
      </c>
      <c r="AE5">
        <f>IF(TRIM(SRC_VM!M5)="","Не установлен",SRC_VM!M5)</f>
        <v/>
      </c>
      <c r="AF5">
        <f>IFERROR(VLOOKUP(AE5,REF_CriticalTemplate!$A:$B,2,FALSE),"")</f>
        <v/>
      </c>
      <c r="AG5">
        <f>IF(TRIM(SRC_VM!Q5)="","Не установлен",SRC_VM!Q5)</f>
        <v/>
      </c>
      <c r="AH5">
        <f>IFERROR(VLOOKUP(AG5,REF_NotificationTemplate!$A:$B,2,FALSE),"")</f>
        <v/>
      </c>
      <c r="AI5">
        <f>SRC_VM!O5</f>
        <v/>
      </c>
      <c r="AJ5">
        <f>IFERROR(VLOOKUP(AI5,REF_UserByName!$A:$B,2,FALSE),"")</f>
        <v/>
      </c>
      <c r="AK5">
        <f>SRC_VM!S5</f>
        <v/>
      </c>
      <c r="AL5">
        <f>IFERROR(VLOOKUP(AK5,REF_UserByName!$A:$B,2,FALSE),"")</f>
        <v/>
      </c>
      <c r="AM5">
        <f>SRC_VM!X5</f>
        <v/>
      </c>
      <c r="AN5">
        <f>IFERROR(VLOOKUP(AM5,REF_UserByName!$A:$B,2,FALSE),"")</f>
        <v/>
      </c>
      <c r="AO5">
        <f>SRC_VM!J5</f>
        <v/>
      </c>
      <c r="AP5">
        <f>SRC_VM!E5</f>
        <v/>
      </c>
      <c r="AQ5">
        <f>SRC_VM!L5</f>
        <v/>
      </c>
      <c r="AR5">
        <f>SRC_VM!W5</f>
        <v/>
      </c>
      <c r="AS5">
        <f>IFERROR(VALUE(SRC_VM!AB5),"")</f>
        <v/>
      </c>
    </row>
    <row r="6">
      <c r="A6">
        <f>SRC_VM!T6</f>
        <v/>
      </c>
      <c r="B6">
        <f>SRC_VM!B6</f>
        <v/>
      </c>
      <c r="C6">
        <f>SRC_VM!A6</f>
        <v/>
      </c>
      <c r="D6">
        <f>"INV-"&amp;C6</f>
        <v/>
      </c>
      <c r="E6">
        <f>IFERROR(LEFT(SRC_VM!I6,FIND(" ",SRC_VM!I6)-1),SRC_VM!I6)</f>
        <v/>
      </c>
      <c r="F6">
        <f>IFERROR(MID(SRC_VM!I6,FIND(" ",SRC_VM!I6)+1,255),"")</f>
        <v/>
      </c>
      <c r="G6">
        <f>E6&amp;"|"&amp;F6</f>
        <v/>
      </c>
      <c r="H6">
        <f>IFERROR(VLOOKUP(G6,REF_VMModel!$A:$B,2,FALSE),"")</f>
        <v/>
      </c>
      <c r="I6">
        <f>SRC_VM!K6</f>
        <v/>
      </c>
      <c r="J6">
        <f>IFERROR(VLOOKUP(I6,REF_Company!$A:$B,2,FALSE),"")</f>
        <v/>
      </c>
      <c r="K6">
        <f>SRC_VM!G6</f>
        <v/>
      </c>
      <c r="L6">
        <f>IFERROR(VLOOKUP(K6,REF_WorkMode!$A:$B,2,FALSE),"")</f>
        <v/>
      </c>
      <c r="M6">
        <f>SRC_VM!AC6</f>
        <v/>
      </c>
      <c r="N6">
        <f>IFERROR(VLOOKUP(M6,REF_TimeZone!$A:$B,2,FALSE),"")</f>
        <v/>
      </c>
      <c r="O6">
        <f>SRC_VM!P6</f>
        <v/>
      </c>
      <c r="P6">
        <f>IFERROR(VLOOKUP(O6,MAP_Status!$A:$B,2,FALSE),O6)</f>
        <v/>
      </c>
      <c r="Q6">
        <f>IFERROR(VLOOKUP(P6,REF_VMStatus!$A:$B,2,FALSE),"")</f>
        <v/>
      </c>
      <c r="R6">
        <f>SRC_VM!N6</f>
        <v/>
      </c>
      <c r="S6">
        <f>IFERROR(VLOOKUP(R6,REF_ServicePriority!$A:$B,2,FALSE),"")</f>
        <v/>
      </c>
      <c r="T6" t="inlineStr">
        <is>
          <t>Не установлена</t>
        </is>
      </c>
      <c r="U6">
        <f>IFERROR(VLOOKUP(T6,REF_ProductMatrix!$A:$B,2,FALSE),"")</f>
        <v/>
      </c>
      <c r="V6" t="inlineStr">
        <is>
          <t>Россия</t>
        </is>
      </c>
      <c r="W6">
        <f>IFERROR(VLOOKUP(V6,REF_Country!$A:$B,2,FALSE),"")</f>
        <v/>
      </c>
      <c r="X6">
        <f>SRC_VM!F6</f>
        <v/>
      </c>
      <c r="Y6">
        <f>SRC_VM!V6</f>
        <v/>
      </c>
      <c r="Z6">
        <f>IFERROR(VALUE(TRIM(LEFT(SRC_VM!AA6,FIND(",",SRC_VM!AA6)-1))),"")</f>
        <v/>
      </c>
      <c r="AA6">
        <f>IFERROR(VALUE(TRIM(MID(SRC_VM!AA6,FIND(",",SRC_VM!AA6)+1,255))),"")</f>
        <v/>
      </c>
      <c r="AB6" s="4">
        <f>DATEVALUE(LEFT(SRC_VM!U6,10))</f>
        <v/>
      </c>
      <c r="AC6" s="5">
        <f>IFERROR(TIMEVALUE(TRIM(LEFT(SRC_VM!R6,FIND("-",SRC_VM!R6)-1))),"")</f>
        <v/>
      </c>
      <c r="AD6" s="5">
        <f>IFERROR(TIMEVALUE(TRIM(MID(SRC_VM!R6,FIND("-",SRC_VM!R6)+1,255))),"")</f>
        <v/>
      </c>
      <c r="AE6">
        <f>IF(TRIM(SRC_VM!M6)="","Не установлен",SRC_VM!M6)</f>
        <v/>
      </c>
      <c r="AF6">
        <f>IFERROR(VLOOKUP(AE6,REF_CriticalTemplate!$A:$B,2,FALSE),"")</f>
        <v/>
      </c>
      <c r="AG6">
        <f>IF(TRIM(SRC_VM!Q6)="","Не установлен",SRC_VM!Q6)</f>
        <v/>
      </c>
      <c r="AH6">
        <f>IFERROR(VLOOKUP(AG6,REF_NotificationTemplate!$A:$B,2,FALSE),"")</f>
        <v/>
      </c>
      <c r="AI6">
        <f>SRC_VM!O6</f>
        <v/>
      </c>
      <c r="AJ6">
        <f>IFERROR(VLOOKUP(AI6,REF_UserByName!$A:$B,2,FALSE),"")</f>
        <v/>
      </c>
      <c r="AK6">
        <f>SRC_VM!S6</f>
        <v/>
      </c>
      <c r="AL6">
        <f>IFERROR(VLOOKUP(AK6,REF_UserByName!$A:$B,2,FALSE),"")</f>
        <v/>
      </c>
      <c r="AM6">
        <f>SRC_VM!X6</f>
        <v/>
      </c>
      <c r="AN6">
        <f>IFERROR(VLOOKUP(AM6,REF_UserByName!$A:$B,2,FALSE),"")</f>
        <v/>
      </c>
      <c r="AO6">
        <f>SRC_VM!J6</f>
        <v/>
      </c>
      <c r="AP6">
        <f>SRC_VM!E6</f>
        <v/>
      </c>
      <c r="AQ6">
        <f>SRC_VM!L6</f>
        <v/>
      </c>
      <c r="AR6">
        <f>SRC_VM!W6</f>
        <v/>
      </c>
      <c r="AS6">
        <f>IFERROR(VALUE(SRC_VM!AB6),"")</f>
        <v/>
      </c>
    </row>
    <row r="7">
      <c r="A7">
        <f>SRC_VM!T7</f>
        <v/>
      </c>
      <c r="B7">
        <f>SRC_VM!B7</f>
        <v/>
      </c>
      <c r="C7">
        <f>SRC_VM!A7</f>
        <v/>
      </c>
      <c r="D7">
        <f>"INV-"&amp;C7</f>
        <v/>
      </c>
      <c r="E7">
        <f>IFERROR(LEFT(SRC_VM!I7,FIND(" ",SRC_VM!I7)-1),SRC_VM!I7)</f>
        <v/>
      </c>
      <c r="F7">
        <f>IFERROR(MID(SRC_VM!I7,FIND(" ",SRC_VM!I7)+1,255),"")</f>
        <v/>
      </c>
      <c r="G7">
        <f>E7&amp;"|"&amp;F7</f>
        <v/>
      </c>
      <c r="H7">
        <f>IFERROR(VLOOKUP(G7,REF_VMModel!$A:$B,2,FALSE),"")</f>
        <v/>
      </c>
      <c r="I7">
        <f>SRC_VM!K7</f>
        <v/>
      </c>
      <c r="J7">
        <f>IFERROR(VLOOKUP(I7,REF_Company!$A:$B,2,FALSE),"")</f>
        <v/>
      </c>
      <c r="K7">
        <f>SRC_VM!G7</f>
        <v/>
      </c>
      <c r="L7">
        <f>IFERROR(VLOOKUP(K7,REF_WorkMode!$A:$B,2,FALSE),"")</f>
        <v/>
      </c>
      <c r="M7">
        <f>SRC_VM!AC7</f>
        <v/>
      </c>
      <c r="N7">
        <f>IFERROR(VLOOKUP(M7,REF_TimeZone!$A:$B,2,FALSE),"")</f>
        <v/>
      </c>
      <c r="O7">
        <f>SRC_VM!P7</f>
        <v/>
      </c>
      <c r="P7">
        <f>IFERROR(VLOOKUP(O7,MAP_Status!$A:$B,2,FALSE),O7)</f>
        <v/>
      </c>
      <c r="Q7">
        <f>IFERROR(VLOOKUP(P7,REF_VMStatus!$A:$B,2,FALSE),"")</f>
        <v/>
      </c>
      <c r="R7">
        <f>SRC_VM!N7</f>
        <v/>
      </c>
      <c r="S7">
        <f>IFERROR(VLOOKUP(R7,REF_ServicePriority!$A:$B,2,FALSE),"")</f>
        <v/>
      </c>
      <c r="T7" t="inlineStr">
        <is>
          <t>Не установлена</t>
        </is>
      </c>
      <c r="U7">
        <f>IFERROR(VLOOKUP(T7,REF_ProductMatrix!$A:$B,2,FALSE),"")</f>
        <v/>
      </c>
      <c r="V7" t="inlineStr">
        <is>
          <t>Россия</t>
        </is>
      </c>
      <c r="W7">
        <f>IFERROR(VLOOKUP(V7,REF_Country!$A:$B,2,FALSE),"")</f>
        <v/>
      </c>
      <c r="X7">
        <f>SRC_VM!F7</f>
        <v/>
      </c>
      <c r="Y7">
        <f>SRC_VM!V7</f>
        <v/>
      </c>
      <c r="Z7">
        <f>IFERROR(VALUE(TRIM(LEFT(SRC_VM!AA7,FIND(",",SRC_VM!AA7)-1))),"")</f>
        <v/>
      </c>
      <c r="AA7">
        <f>IFERROR(VALUE(TRIM(MID(SRC_VM!AA7,FIND(",",SRC_VM!AA7)+1,255))),"")</f>
        <v/>
      </c>
      <c r="AB7" s="4">
        <f>DATEVALUE(LEFT(SRC_VM!U7,10))</f>
        <v/>
      </c>
      <c r="AC7" s="5">
        <f>IFERROR(TIMEVALUE(TRIM(LEFT(SRC_VM!R7,FIND("-",SRC_VM!R7)-1))),"")</f>
        <v/>
      </c>
      <c r="AD7" s="5">
        <f>IFERROR(TIMEVALUE(TRIM(MID(SRC_VM!R7,FIND("-",SRC_VM!R7)+1,255))),"")</f>
        <v/>
      </c>
      <c r="AE7">
        <f>IF(TRIM(SRC_VM!M7)="","Не установлен",SRC_VM!M7)</f>
        <v/>
      </c>
      <c r="AF7">
        <f>IFERROR(VLOOKUP(AE7,REF_CriticalTemplate!$A:$B,2,FALSE),"")</f>
        <v/>
      </c>
      <c r="AG7">
        <f>IF(TRIM(SRC_VM!Q7)="","Не установлен",SRC_VM!Q7)</f>
        <v/>
      </c>
      <c r="AH7">
        <f>IFERROR(VLOOKUP(AG7,REF_NotificationTemplate!$A:$B,2,FALSE),"")</f>
        <v/>
      </c>
      <c r="AI7">
        <f>SRC_VM!O7</f>
        <v/>
      </c>
      <c r="AJ7">
        <f>IFERROR(VLOOKUP(AI7,REF_UserByName!$A:$B,2,FALSE),"")</f>
        <v/>
      </c>
      <c r="AK7">
        <f>SRC_VM!S7</f>
        <v/>
      </c>
      <c r="AL7">
        <f>IFERROR(VLOOKUP(AK7,REF_UserByName!$A:$B,2,FALSE),"")</f>
        <v/>
      </c>
      <c r="AM7">
        <f>SRC_VM!X7</f>
        <v/>
      </c>
      <c r="AN7">
        <f>IFERROR(VLOOKUP(AM7,REF_UserByName!$A:$B,2,FALSE),"")</f>
        <v/>
      </c>
      <c r="AO7">
        <f>SRC_VM!J7</f>
        <v/>
      </c>
      <c r="AP7">
        <f>SRC_VM!E7</f>
        <v/>
      </c>
      <c r="AQ7">
        <f>SRC_VM!L7</f>
        <v/>
      </c>
      <c r="AR7">
        <f>SRC_VM!W7</f>
        <v/>
      </c>
      <c r="AS7">
        <f>IFERROR(VALUE(SRC_VM!AB7),"")</f>
        <v/>
      </c>
    </row>
    <row r="8">
      <c r="A8">
        <f>SRC_VM!T8</f>
        <v/>
      </c>
      <c r="B8">
        <f>SRC_VM!B8</f>
        <v/>
      </c>
      <c r="C8">
        <f>SRC_VM!A8</f>
        <v/>
      </c>
      <c r="D8">
        <f>"INV-"&amp;C8</f>
        <v/>
      </c>
      <c r="E8">
        <f>IFERROR(LEFT(SRC_VM!I8,FIND(" ",SRC_VM!I8)-1),SRC_VM!I8)</f>
        <v/>
      </c>
      <c r="F8">
        <f>IFERROR(MID(SRC_VM!I8,FIND(" ",SRC_VM!I8)+1,255),"")</f>
        <v/>
      </c>
      <c r="G8">
        <f>E8&amp;"|"&amp;F8</f>
        <v/>
      </c>
      <c r="H8">
        <f>IFERROR(VLOOKUP(G8,REF_VMModel!$A:$B,2,FALSE),"")</f>
        <v/>
      </c>
      <c r="I8">
        <f>SRC_VM!K8</f>
        <v/>
      </c>
      <c r="J8">
        <f>IFERROR(VLOOKUP(I8,REF_Company!$A:$B,2,FALSE),"")</f>
        <v/>
      </c>
      <c r="K8">
        <f>SRC_VM!G8</f>
        <v/>
      </c>
      <c r="L8">
        <f>IFERROR(VLOOKUP(K8,REF_WorkMode!$A:$B,2,FALSE),"")</f>
        <v/>
      </c>
      <c r="M8">
        <f>SRC_VM!AC8</f>
        <v/>
      </c>
      <c r="N8">
        <f>IFERROR(VLOOKUP(M8,REF_TimeZone!$A:$B,2,FALSE),"")</f>
        <v/>
      </c>
      <c r="O8">
        <f>SRC_VM!P8</f>
        <v/>
      </c>
      <c r="P8">
        <f>IFERROR(VLOOKUP(O8,MAP_Status!$A:$B,2,FALSE),O8)</f>
        <v/>
      </c>
      <c r="Q8">
        <f>IFERROR(VLOOKUP(P8,REF_VMStatus!$A:$B,2,FALSE),"")</f>
        <v/>
      </c>
      <c r="R8">
        <f>SRC_VM!N8</f>
        <v/>
      </c>
      <c r="S8">
        <f>IFERROR(VLOOKUP(R8,REF_ServicePriority!$A:$B,2,FALSE),"")</f>
        <v/>
      </c>
      <c r="T8" t="inlineStr">
        <is>
          <t>Не установлена</t>
        </is>
      </c>
      <c r="U8">
        <f>IFERROR(VLOOKUP(T8,REF_ProductMatrix!$A:$B,2,FALSE),"")</f>
        <v/>
      </c>
      <c r="V8" t="inlineStr">
        <is>
          <t>Россия</t>
        </is>
      </c>
      <c r="W8">
        <f>IFERROR(VLOOKUP(V8,REF_Country!$A:$B,2,FALSE),"")</f>
        <v/>
      </c>
      <c r="X8">
        <f>SRC_VM!F8</f>
        <v/>
      </c>
      <c r="Y8">
        <f>SRC_VM!V8</f>
        <v/>
      </c>
      <c r="Z8">
        <f>IFERROR(VALUE(TRIM(LEFT(SRC_VM!AA8,FIND(",",SRC_VM!AA8)-1))),"")</f>
        <v/>
      </c>
      <c r="AA8">
        <f>IFERROR(VALUE(TRIM(MID(SRC_VM!AA8,FIND(",",SRC_VM!AA8)+1,255))),"")</f>
        <v/>
      </c>
      <c r="AB8" s="4">
        <f>DATEVALUE(LEFT(SRC_VM!U8,10))</f>
        <v/>
      </c>
      <c r="AC8" s="5">
        <f>IFERROR(TIMEVALUE(TRIM(LEFT(SRC_VM!R8,FIND("-",SRC_VM!R8)-1))),"")</f>
        <v/>
      </c>
      <c r="AD8" s="5">
        <f>IFERROR(TIMEVALUE(TRIM(MID(SRC_VM!R8,FIND("-",SRC_VM!R8)+1,255))),"")</f>
        <v/>
      </c>
      <c r="AE8">
        <f>IF(TRIM(SRC_VM!M8)="","Не установлен",SRC_VM!M8)</f>
        <v/>
      </c>
      <c r="AF8">
        <f>IFERROR(VLOOKUP(AE8,REF_CriticalTemplate!$A:$B,2,FALSE),"")</f>
        <v/>
      </c>
      <c r="AG8">
        <f>IF(TRIM(SRC_VM!Q8)="","Не установлен",SRC_VM!Q8)</f>
        <v/>
      </c>
      <c r="AH8">
        <f>IFERROR(VLOOKUP(AG8,REF_NotificationTemplate!$A:$B,2,FALSE),"")</f>
        <v/>
      </c>
      <c r="AI8">
        <f>SRC_VM!O8</f>
        <v/>
      </c>
      <c r="AJ8">
        <f>IFERROR(VLOOKUP(AI8,REF_UserByName!$A:$B,2,FALSE),"")</f>
        <v/>
      </c>
      <c r="AK8">
        <f>SRC_VM!S8</f>
        <v/>
      </c>
      <c r="AL8">
        <f>IFERROR(VLOOKUP(AK8,REF_UserByName!$A:$B,2,FALSE),"")</f>
        <v/>
      </c>
      <c r="AM8">
        <f>SRC_VM!X8</f>
        <v/>
      </c>
      <c r="AN8">
        <f>IFERROR(VLOOKUP(AM8,REF_UserByName!$A:$B,2,FALSE),"")</f>
        <v/>
      </c>
      <c r="AO8">
        <f>SRC_VM!J8</f>
        <v/>
      </c>
      <c r="AP8">
        <f>SRC_VM!E8</f>
        <v/>
      </c>
      <c r="AQ8">
        <f>SRC_VM!L8</f>
        <v/>
      </c>
      <c r="AR8">
        <f>SRC_VM!W8</f>
        <v/>
      </c>
      <c r="AS8">
        <f>IFERROR(VALUE(SRC_VM!AB8),"")</f>
        <v/>
      </c>
    </row>
    <row r="9">
      <c r="A9">
        <f>SRC_VM!T9</f>
        <v/>
      </c>
      <c r="B9">
        <f>SRC_VM!B9</f>
        <v/>
      </c>
      <c r="C9">
        <f>SRC_VM!A9</f>
        <v/>
      </c>
      <c r="D9">
        <f>"INV-"&amp;C9</f>
        <v/>
      </c>
      <c r="E9">
        <f>IFERROR(LEFT(SRC_VM!I9,FIND(" ",SRC_VM!I9)-1),SRC_VM!I9)</f>
        <v/>
      </c>
      <c r="F9">
        <f>IFERROR(MID(SRC_VM!I9,FIND(" ",SRC_VM!I9)+1,255),"")</f>
        <v/>
      </c>
      <c r="G9">
        <f>E9&amp;"|"&amp;F9</f>
        <v/>
      </c>
      <c r="H9">
        <f>IFERROR(VLOOKUP(G9,REF_VMModel!$A:$B,2,FALSE),"")</f>
        <v/>
      </c>
      <c r="I9">
        <f>SRC_VM!K9</f>
        <v/>
      </c>
      <c r="J9">
        <f>IFERROR(VLOOKUP(I9,REF_Company!$A:$B,2,FALSE),"")</f>
        <v/>
      </c>
      <c r="K9">
        <f>SRC_VM!G9</f>
        <v/>
      </c>
      <c r="L9">
        <f>IFERROR(VLOOKUP(K9,REF_WorkMode!$A:$B,2,FALSE),"")</f>
        <v/>
      </c>
      <c r="M9">
        <f>SRC_VM!AC9</f>
        <v/>
      </c>
      <c r="N9">
        <f>IFERROR(VLOOKUP(M9,REF_TimeZone!$A:$B,2,FALSE),"")</f>
        <v/>
      </c>
      <c r="O9">
        <f>SRC_VM!P9</f>
        <v/>
      </c>
      <c r="P9">
        <f>IFERROR(VLOOKUP(O9,MAP_Status!$A:$B,2,FALSE),O9)</f>
        <v/>
      </c>
      <c r="Q9">
        <f>IFERROR(VLOOKUP(P9,REF_VMStatus!$A:$B,2,FALSE),"")</f>
        <v/>
      </c>
      <c r="R9">
        <f>SRC_VM!N9</f>
        <v/>
      </c>
      <c r="S9">
        <f>IFERROR(VLOOKUP(R9,REF_ServicePriority!$A:$B,2,FALSE),"")</f>
        <v/>
      </c>
      <c r="T9" t="inlineStr">
        <is>
          <t>Не установлена</t>
        </is>
      </c>
      <c r="U9">
        <f>IFERROR(VLOOKUP(T9,REF_ProductMatrix!$A:$B,2,FALSE),"")</f>
        <v/>
      </c>
      <c r="V9" t="inlineStr">
        <is>
          <t>Россия</t>
        </is>
      </c>
      <c r="W9">
        <f>IFERROR(VLOOKUP(V9,REF_Country!$A:$B,2,FALSE),"")</f>
        <v/>
      </c>
      <c r="X9">
        <f>SRC_VM!F9</f>
        <v/>
      </c>
      <c r="Y9">
        <f>SRC_VM!V9</f>
        <v/>
      </c>
      <c r="Z9">
        <f>IFERROR(VALUE(TRIM(LEFT(SRC_VM!AA9,FIND(",",SRC_VM!AA9)-1))),"")</f>
        <v/>
      </c>
      <c r="AA9">
        <f>IFERROR(VALUE(TRIM(MID(SRC_VM!AA9,FIND(",",SRC_VM!AA9)+1,255))),"")</f>
        <v/>
      </c>
      <c r="AB9" s="4">
        <f>DATEVALUE(LEFT(SRC_VM!U9,10))</f>
        <v/>
      </c>
      <c r="AC9" s="5">
        <f>IFERROR(TIMEVALUE(TRIM(LEFT(SRC_VM!R9,FIND("-",SRC_VM!R9)-1))),"")</f>
        <v/>
      </c>
      <c r="AD9" s="5">
        <f>IFERROR(TIMEVALUE(TRIM(MID(SRC_VM!R9,FIND("-",SRC_VM!R9)+1,255))),"")</f>
        <v/>
      </c>
      <c r="AE9">
        <f>IF(TRIM(SRC_VM!M9)="","Не установлен",SRC_VM!M9)</f>
        <v/>
      </c>
      <c r="AF9">
        <f>IFERROR(VLOOKUP(AE9,REF_CriticalTemplate!$A:$B,2,FALSE),"")</f>
        <v/>
      </c>
      <c r="AG9">
        <f>IF(TRIM(SRC_VM!Q9)="","Не установлен",SRC_VM!Q9)</f>
        <v/>
      </c>
      <c r="AH9">
        <f>IFERROR(VLOOKUP(AG9,REF_NotificationTemplate!$A:$B,2,FALSE),"")</f>
        <v/>
      </c>
      <c r="AI9">
        <f>SRC_VM!O9</f>
        <v/>
      </c>
      <c r="AJ9">
        <f>IFERROR(VLOOKUP(AI9,REF_UserByName!$A:$B,2,FALSE),"")</f>
        <v/>
      </c>
      <c r="AK9">
        <f>SRC_VM!S9</f>
        <v/>
      </c>
      <c r="AL9">
        <f>IFERROR(VLOOKUP(AK9,REF_UserByName!$A:$B,2,FALSE),"")</f>
        <v/>
      </c>
      <c r="AM9">
        <f>SRC_VM!X9</f>
        <v/>
      </c>
      <c r="AN9">
        <f>IFERROR(VLOOKUP(AM9,REF_UserByName!$A:$B,2,FALSE),"")</f>
        <v/>
      </c>
      <c r="AO9">
        <f>SRC_VM!J9</f>
        <v/>
      </c>
      <c r="AP9">
        <f>SRC_VM!E9</f>
        <v/>
      </c>
      <c r="AQ9">
        <f>SRC_VM!L9</f>
        <v/>
      </c>
      <c r="AR9">
        <f>SRC_VM!W9</f>
        <v/>
      </c>
      <c r="AS9">
        <f>IFERROR(VALUE(SRC_VM!AB9),"")</f>
        <v/>
      </c>
    </row>
    <row r="10">
      <c r="A10">
        <f>SRC_VM!T10</f>
        <v/>
      </c>
      <c r="B10">
        <f>SRC_VM!B10</f>
        <v/>
      </c>
      <c r="C10">
        <f>SRC_VM!A10</f>
        <v/>
      </c>
      <c r="D10">
        <f>"INV-"&amp;C10</f>
        <v/>
      </c>
      <c r="E10">
        <f>IFERROR(LEFT(SRC_VM!I10,FIND(" ",SRC_VM!I10)-1),SRC_VM!I10)</f>
        <v/>
      </c>
      <c r="F10">
        <f>IFERROR(MID(SRC_VM!I10,FIND(" ",SRC_VM!I10)+1,255),"")</f>
        <v/>
      </c>
      <c r="G10">
        <f>E10&amp;"|"&amp;F10</f>
        <v/>
      </c>
      <c r="H10">
        <f>IFERROR(VLOOKUP(G10,REF_VMModel!$A:$B,2,FALSE),"")</f>
        <v/>
      </c>
      <c r="I10">
        <f>SRC_VM!K10</f>
        <v/>
      </c>
      <c r="J10">
        <f>IFERROR(VLOOKUP(I10,REF_Company!$A:$B,2,FALSE),"")</f>
        <v/>
      </c>
      <c r="K10">
        <f>SRC_VM!G10</f>
        <v/>
      </c>
      <c r="L10">
        <f>IFERROR(VLOOKUP(K10,REF_WorkMode!$A:$B,2,FALSE),"")</f>
        <v/>
      </c>
      <c r="M10">
        <f>SRC_VM!AC10</f>
        <v/>
      </c>
      <c r="N10">
        <f>IFERROR(VLOOKUP(M10,REF_TimeZone!$A:$B,2,FALSE),"")</f>
        <v/>
      </c>
      <c r="O10">
        <f>SRC_VM!P10</f>
        <v/>
      </c>
      <c r="P10">
        <f>IFERROR(VLOOKUP(O10,MAP_Status!$A:$B,2,FALSE),O10)</f>
        <v/>
      </c>
      <c r="Q10">
        <f>IFERROR(VLOOKUP(P10,REF_VMStatus!$A:$B,2,FALSE),"")</f>
        <v/>
      </c>
      <c r="R10">
        <f>SRC_VM!N10</f>
        <v/>
      </c>
      <c r="S10">
        <f>IFERROR(VLOOKUP(R10,REF_ServicePriority!$A:$B,2,FALSE),"")</f>
        <v/>
      </c>
      <c r="T10" t="inlineStr">
        <is>
          <t>Не установлена</t>
        </is>
      </c>
      <c r="U10">
        <f>IFERROR(VLOOKUP(T10,REF_ProductMatrix!$A:$B,2,FALSE),"")</f>
        <v/>
      </c>
      <c r="V10" t="inlineStr">
        <is>
          <t>Россия</t>
        </is>
      </c>
      <c r="W10">
        <f>IFERROR(VLOOKUP(V10,REF_Country!$A:$B,2,FALSE),"")</f>
        <v/>
      </c>
      <c r="X10">
        <f>SRC_VM!F10</f>
        <v/>
      </c>
      <c r="Y10">
        <f>SRC_VM!V10</f>
        <v/>
      </c>
      <c r="Z10">
        <f>IFERROR(VALUE(TRIM(LEFT(SRC_VM!AA10,FIND(",",SRC_VM!AA10)-1))),"")</f>
        <v/>
      </c>
      <c r="AA10">
        <f>IFERROR(VALUE(TRIM(MID(SRC_VM!AA10,FIND(",",SRC_VM!AA10)+1,255))),"")</f>
        <v/>
      </c>
      <c r="AB10" s="4">
        <f>DATEVALUE(LEFT(SRC_VM!U10,10))</f>
        <v/>
      </c>
      <c r="AC10" s="5">
        <f>IFERROR(TIMEVALUE(TRIM(LEFT(SRC_VM!R10,FIND("-",SRC_VM!R10)-1))),"")</f>
        <v/>
      </c>
      <c r="AD10" s="5">
        <f>IFERROR(TIMEVALUE(TRIM(MID(SRC_VM!R10,FIND("-",SRC_VM!R10)+1,255))),"")</f>
        <v/>
      </c>
      <c r="AE10">
        <f>IF(TRIM(SRC_VM!M10)="","Не установлен",SRC_VM!M10)</f>
        <v/>
      </c>
      <c r="AF10">
        <f>IFERROR(VLOOKUP(AE10,REF_CriticalTemplate!$A:$B,2,FALSE),"")</f>
        <v/>
      </c>
      <c r="AG10">
        <f>IF(TRIM(SRC_VM!Q10)="","Не установлен",SRC_VM!Q10)</f>
        <v/>
      </c>
      <c r="AH10">
        <f>IFERROR(VLOOKUP(AG10,REF_NotificationTemplate!$A:$B,2,FALSE),"")</f>
        <v/>
      </c>
      <c r="AI10">
        <f>SRC_VM!O10</f>
        <v/>
      </c>
      <c r="AJ10">
        <f>IFERROR(VLOOKUP(AI10,REF_UserByName!$A:$B,2,FALSE),"")</f>
        <v/>
      </c>
      <c r="AK10">
        <f>SRC_VM!S10</f>
        <v/>
      </c>
      <c r="AL10">
        <f>IFERROR(VLOOKUP(AK10,REF_UserByName!$A:$B,2,FALSE),"")</f>
        <v/>
      </c>
      <c r="AM10">
        <f>SRC_VM!X10</f>
        <v/>
      </c>
      <c r="AN10">
        <f>IFERROR(VLOOKUP(AM10,REF_UserByName!$A:$B,2,FALSE),"")</f>
        <v/>
      </c>
      <c r="AO10">
        <f>SRC_VM!J10</f>
        <v/>
      </c>
      <c r="AP10">
        <f>SRC_VM!E10</f>
        <v/>
      </c>
      <c r="AQ10">
        <f>SRC_VM!L10</f>
        <v/>
      </c>
      <c r="AR10">
        <f>SRC_VM!W10</f>
        <v/>
      </c>
      <c r="AS10">
        <f>IFERROR(VALUE(SRC_VM!AB10),"")</f>
        <v/>
      </c>
    </row>
    <row r="11">
      <c r="A11">
        <f>SRC_VM!T11</f>
        <v/>
      </c>
      <c r="B11">
        <f>SRC_VM!B11</f>
        <v/>
      </c>
      <c r="C11">
        <f>SRC_VM!A11</f>
        <v/>
      </c>
      <c r="D11">
        <f>"INV-"&amp;C11</f>
        <v/>
      </c>
      <c r="E11">
        <f>IFERROR(LEFT(SRC_VM!I11,FIND(" ",SRC_VM!I11)-1),SRC_VM!I11)</f>
        <v/>
      </c>
      <c r="F11">
        <f>IFERROR(MID(SRC_VM!I11,FIND(" ",SRC_VM!I11)+1,255),"")</f>
        <v/>
      </c>
      <c r="G11">
        <f>E11&amp;"|"&amp;F11</f>
        <v/>
      </c>
      <c r="H11">
        <f>IFERROR(VLOOKUP(G11,REF_VMModel!$A:$B,2,FALSE),"")</f>
        <v/>
      </c>
      <c r="I11">
        <f>SRC_VM!K11</f>
        <v/>
      </c>
      <c r="J11">
        <f>IFERROR(VLOOKUP(I11,REF_Company!$A:$B,2,FALSE),"")</f>
        <v/>
      </c>
      <c r="K11">
        <f>SRC_VM!G11</f>
        <v/>
      </c>
      <c r="L11">
        <f>IFERROR(VLOOKUP(K11,REF_WorkMode!$A:$B,2,FALSE),"")</f>
        <v/>
      </c>
      <c r="M11">
        <f>SRC_VM!AC11</f>
        <v/>
      </c>
      <c r="N11">
        <f>IFERROR(VLOOKUP(M11,REF_TimeZone!$A:$B,2,FALSE),"")</f>
        <v/>
      </c>
      <c r="O11">
        <f>SRC_VM!P11</f>
        <v/>
      </c>
      <c r="P11">
        <f>IFERROR(VLOOKUP(O11,MAP_Status!$A:$B,2,FALSE),O11)</f>
        <v/>
      </c>
      <c r="Q11">
        <f>IFERROR(VLOOKUP(P11,REF_VMStatus!$A:$B,2,FALSE),"")</f>
        <v/>
      </c>
      <c r="R11">
        <f>SRC_VM!N11</f>
        <v/>
      </c>
      <c r="S11">
        <f>IFERROR(VLOOKUP(R11,REF_ServicePriority!$A:$B,2,FALSE),"")</f>
        <v/>
      </c>
      <c r="T11" t="inlineStr">
        <is>
          <t>Не установлена</t>
        </is>
      </c>
      <c r="U11">
        <f>IFERROR(VLOOKUP(T11,REF_ProductMatrix!$A:$B,2,FALSE),"")</f>
        <v/>
      </c>
      <c r="V11" t="inlineStr">
        <is>
          <t>Россия</t>
        </is>
      </c>
      <c r="W11">
        <f>IFERROR(VLOOKUP(V11,REF_Country!$A:$B,2,FALSE),"")</f>
        <v/>
      </c>
      <c r="X11">
        <f>SRC_VM!F11</f>
        <v/>
      </c>
      <c r="Y11">
        <f>SRC_VM!V11</f>
        <v/>
      </c>
      <c r="Z11">
        <f>IFERROR(VALUE(TRIM(LEFT(SRC_VM!AA11,FIND(",",SRC_VM!AA11)-1))),"")</f>
        <v/>
      </c>
      <c r="AA11">
        <f>IFERROR(VALUE(TRIM(MID(SRC_VM!AA11,FIND(",",SRC_VM!AA11)+1,255))),"")</f>
        <v/>
      </c>
      <c r="AB11" s="4">
        <f>DATEVALUE(LEFT(SRC_VM!U11,10))</f>
        <v/>
      </c>
      <c r="AC11" s="5">
        <f>IFERROR(TIMEVALUE(TRIM(LEFT(SRC_VM!R11,FIND("-",SRC_VM!R11)-1))),"")</f>
        <v/>
      </c>
      <c r="AD11" s="5">
        <f>IFERROR(TIMEVALUE(TRIM(MID(SRC_VM!R11,FIND("-",SRC_VM!R11)+1,255))),"")</f>
        <v/>
      </c>
      <c r="AE11">
        <f>IF(TRIM(SRC_VM!M11)="","Не установлен",SRC_VM!M11)</f>
        <v/>
      </c>
      <c r="AF11">
        <f>IFERROR(VLOOKUP(AE11,REF_CriticalTemplate!$A:$B,2,FALSE),"")</f>
        <v/>
      </c>
      <c r="AG11">
        <f>IF(TRIM(SRC_VM!Q11)="","Не установлен",SRC_VM!Q11)</f>
        <v/>
      </c>
      <c r="AH11">
        <f>IFERROR(VLOOKUP(AG11,REF_NotificationTemplate!$A:$B,2,FALSE),"")</f>
        <v/>
      </c>
      <c r="AI11">
        <f>SRC_VM!O11</f>
        <v/>
      </c>
      <c r="AJ11">
        <f>IFERROR(VLOOKUP(AI11,REF_UserByName!$A:$B,2,FALSE),"")</f>
        <v/>
      </c>
      <c r="AK11">
        <f>SRC_VM!S11</f>
        <v/>
      </c>
      <c r="AL11">
        <f>IFERROR(VLOOKUP(AK11,REF_UserByName!$A:$B,2,FALSE),"")</f>
        <v/>
      </c>
      <c r="AM11">
        <f>SRC_VM!X11</f>
        <v/>
      </c>
      <c r="AN11">
        <f>IFERROR(VLOOKUP(AM11,REF_UserByName!$A:$B,2,FALSE),"")</f>
        <v/>
      </c>
      <c r="AO11">
        <f>SRC_VM!J11</f>
        <v/>
      </c>
      <c r="AP11">
        <f>SRC_VM!E11</f>
        <v/>
      </c>
      <c r="AQ11">
        <f>SRC_VM!L11</f>
        <v/>
      </c>
      <c r="AR11">
        <f>SRC_VM!W11</f>
        <v/>
      </c>
      <c r="AS11">
        <f>IFERROR(VALUE(SRC_VM!AB11),"")</f>
        <v/>
      </c>
    </row>
  </sheetData>
  <autoFilter ref="A1:AS1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48" customWidth="1" min="9" max="9"/>
    <col width="48" customWidth="1" min="10" max="10"/>
    <col width="48" customWidth="1" min="11" max="11"/>
  </cols>
  <sheetData>
    <row r="1">
      <c r="A1" s="2" t="inlineStr">
        <is>
          <t>ExternalProductId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Price</t>
        </is>
      </c>
      <c r="E1" s="2" t="inlineStr">
        <is>
          <t>MinStock</t>
        </is>
      </c>
      <c r="F1" s="2" t="inlineStr">
        <is>
          <t>QuantityAvailable</t>
        </is>
      </c>
      <c r="G1" s="2" t="inlineStr">
        <is>
          <t>SalesTrend</t>
        </is>
      </c>
      <c r="H1" s="2" t="inlineStr">
        <is>
          <t>VmExternalId</t>
        </is>
      </c>
      <c r="I1" s="2" t="inlineStr">
        <is>
          <t>VmSerial</t>
        </is>
      </c>
      <c r="J1" s="2" t="inlineStr">
        <is>
          <t>VendingMachineId</t>
        </is>
      </c>
      <c r="K1" s="2" t="inlineStr">
        <is>
          <t>ProductId</t>
        </is>
      </c>
    </row>
    <row r="2">
      <c r="A2">
        <f>SRC_Products!A2</f>
        <v/>
      </c>
      <c r="B2">
        <f>SRC_Products!B2</f>
        <v/>
      </c>
      <c r="C2">
        <f>SRC_Products!F2</f>
        <v/>
      </c>
      <c r="D2">
        <f>VALUE(SRC_Products!C2)</f>
        <v/>
      </c>
      <c r="E2">
        <f>VALUE(SRC_Products!D2)</f>
        <v/>
      </c>
      <c r="F2">
        <f>VALUE(SRC_Products!G2)</f>
        <v/>
      </c>
      <c r="G2">
        <f>VALUE(SRC_Products!H2)</f>
        <v/>
      </c>
      <c r="H2">
        <f>SRC_Products!E2</f>
        <v/>
      </c>
      <c r="I2">
        <f>IFERROR(VLOOKUP(H2,VM_NORM!$A:$C,3,FALSE),"")</f>
        <v/>
      </c>
      <c r="J2">
        <f>IFERROR(VLOOKUP(I2,REF_VMBySerial!$A:$B,2,FALSE),"")</f>
        <v/>
      </c>
      <c r="K2">
        <f>IFERROR(VLOOKUP(B2,REF_ProductByName!$A:$B,2,FALSE),"")</f>
        <v/>
      </c>
    </row>
    <row r="3">
      <c r="A3">
        <f>SRC_Products!A3</f>
        <v/>
      </c>
      <c r="B3">
        <f>SRC_Products!B3</f>
        <v/>
      </c>
      <c r="C3">
        <f>SRC_Products!F3</f>
        <v/>
      </c>
      <c r="D3">
        <f>VALUE(SRC_Products!C3)</f>
        <v/>
      </c>
      <c r="E3">
        <f>VALUE(SRC_Products!D3)</f>
        <v/>
      </c>
      <c r="F3">
        <f>VALUE(SRC_Products!G3)</f>
        <v/>
      </c>
      <c r="G3">
        <f>VALUE(SRC_Products!H3)</f>
        <v/>
      </c>
      <c r="H3">
        <f>SRC_Products!E3</f>
        <v/>
      </c>
      <c r="I3">
        <f>IFERROR(VLOOKUP(H3,VM_NORM!$A:$C,3,FALSE),"")</f>
        <v/>
      </c>
      <c r="J3">
        <f>IFERROR(VLOOKUP(I3,REF_VMBySerial!$A:$B,2,FALSE),"")</f>
        <v/>
      </c>
      <c r="K3">
        <f>IFERROR(VLOOKUP(B3,REF_ProductByName!$A:$B,2,FALSE),"")</f>
        <v/>
      </c>
    </row>
    <row r="4">
      <c r="A4">
        <f>SRC_Products!A4</f>
        <v/>
      </c>
      <c r="B4">
        <f>SRC_Products!B4</f>
        <v/>
      </c>
      <c r="C4">
        <f>SRC_Products!F4</f>
        <v/>
      </c>
      <c r="D4">
        <f>VALUE(SRC_Products!C4)</f>
        <v/>
      </c>
      <c r="E4">
        <f>VALUE(SRC_Products!D4)</f>
        <v/>
      </c>
      <c r="F4">
        <f>VALUE(SRC_Products!G4)</f>
        <v/>
      </c>
      <c r="G4">
        <f>VALUE(SRC_Products!H4)</f>
        <v/>
      </c>
      <c r="H4">
        <f>SRC_Products!E4</f>
        <v/>
      </c>
      <c r="I4">
        <f>IFERROR(VLOOKUP(H4,VM_NORM!$A:$C,3,FALSE),"")</f>
        <v/>
      </c>
      <c r="J4">
        <f>IFERROR(VLOOKUP(I4,REF_VMBySerial!$A:$B,2,FALSE),"")</f>
        <v/>
      </c>
      <c r="K4">
        <f>IFERROR(VLOOKUP(B4,REF_ProductByName!$A:$B,2,FALSE),"")</f>
        <v/>
      </c>
    </row>
    <row r="5">
      <c r="A5">
        <f>SRC_Products!A5</f>
        <v/>
      </c>
      <c r="B5">
        <f>SRC_Products!B5</f>
        <v/>
      </c>
      <c r="C5">
        <f>SRC_Products!F5</f>
        <v/>
      </c>
      <c r="D5">
        <f>VALUE(SRC_Products!C5)</f>
        <v/>
      </c>
      <c r="E5">
        <f>VALUE(SRC_Products!D5)</f>
        <v/>
      </c>
      <c r="F5">
        <f>VALUE(SRC_Products!G5)</f>
        <v/>
      </c>
      <c r="G5">
        <f>VALUE(SRC_Products!H5)</f>
        <v/>
      </c>
      <c r="H5">
        <f>SRC_Products!E5</f>
        <v/>
      </c>
      <c r="I5">
        <f>IFERROR(VLOOKUP(H5,VM_NORM!$A:$C,3,FALSE),"")</f>
        <v/>
      </c>
      <c r="J5">
        <f>IFERROR(VLOOKUP(I5,REF_VMBySerial!$A:$B,2,FALSE),"")</f>
        <v/>
      </c>
      <c r="K5">
        <f>IFERROR(VLOOKUP(B5,REF_ProductByName!$A:$B,2,FALSE),"")</f>
        <v/>
      </c>
    </row>
    <row r="6">
      <c r="A6">
        <f>SRC_Products!A6</f>
        <v/>
      </c>
      <c r="B6">
        <f>SRC_Products!B6</f>
        <v/>
      </c>
      <c r="C6">
        <f>SRC_Products!F6</f>
        <v/>
      </c>
      <c r="D6">
        <f>VALUE(SRC_Products!C6)</f>
        <v/>
      </c>
      <c r="E6">
        <f>VALUE(SRC_Products!D6)</f>
        <v/>
      </c>
      <c r="F6">
        <f>VALUE(SRC_Products!G6)</f>
        <v/>
      </c>
      <c r="G6">
        <f>VALUE(SRC_Products!H6)</f>
        <v/>
      </c>
      <c r="H6">
        <f>SRC_Products!E6</f>
        <v/>
      </c>
      <c r="I6">
        <f>IFERROR(VLOOKUP(H6,VM_NORM!$A:$C,3,FALSE),"")</f>
        <v/>
      </c>
      <c r="J6">
        <f>IFERROR(VLOOKUP(I6,REF_VMBySerial!$A:$B,2,FALSE),"")</f>
        <v/>
      </c>
      <c r="K6">
        <f>IFERROR(VLOOKUP(B6,REF_ProductByName!$A:$B,2,FALSE),"")</f>
        <v/>
      </c>
    </row>
    <row r="7">
      <c r="A7">
        <f>SRC_Products!A7</f>
        <v/>
      </c>
      <c r="B7">
        <f>SRC_Products!B7</f>
        <v/>
      </c>
      <c r="C7">
        <f>SRC_Products!F7</f>
        <v/>
      </c>
      <c r="D7">
        <f>VALUE(SRC_Products!C7)</f>
        <v/>
      </c>
      <c r="E7">
        <f>VALUE(SRC_Products!D7)</f>
        <v/>
      </c>
      <c r="F7">
        <f>VALUE(SRC_Products!G7)</f>
        <v/>
      </c>
      <c r="G7">
        <f>VALUE(SRC_Products!H7)</f>
        <v/>
      </c>
      <c r="H7">
        <f>SRC_Products!E7</f>
        <v/>
      </c>
      <c r="I7">
        <f>IFERROR(VLOOKUP(H7,VM_NORM!$A:$C,3,FALSE),"")</f>
        <v/>
      </c>
      <c r="J7">
        <f>IFERROR(VLOOKUP(I7,REF_VMBySerial!$A:$B,2,FALSE),"")</f>
        <v/>
      </c>
      <c r="K7">
        <f>IFERROR(VLOOKUP(B7,REF_ProductByName!$A:$B,2,FALSE),"")</f>
        <v/>
      </c>
    </row>
    <row r="8">
      <c r="A8">
        <f>SRC_Products!A8</f>
        <v/>
      </c>
      <c r="B8">
        <f>SRC_Products!B8</f>
        <v/>
      </c>
      <c r="C8">
        <f>SRC_Products!F8</f>
        <v/>
      </c>
      <c r="D8">
        <f>VALUE(SRC_Products!C8)</f>
        <v/>
      </c>
      <c r="E8">
        <f>VALUE(SRC_Products!D8)</f>
        <v/>
      </c>
      <c r="F8">
        <f>VALUE(SRC_Products!G8)</f>
        <v/>
      </c>
      <c r="G8">
        <f>VALUE(SRC_Products!H8)</f>
        <v/>
      </c>
      <c r="H8">
        <f>SRC_Products!E8</f>
        <v/>
      </c>
      <c r="I8">
        <f>IFERROR(VLOOKUP(H8,VM_NORM!$A:$C,3,FALSE),"")</f>
        <v/>
      </c>
      <c r="J8">
        <f>IFERROR(VLOOKUP(I8,REF_VMBySerial!$A:$B,2,FALSE),"")</f>
        <v/>
      </c>
      <c r="K8">
        <f>IFERROR(VLOOKUP(B8,REF_ProductByName!$A:$B,2,FALSE),"")</f>
        <v/>
      </c>
    </row>
    <row r="9">
      <c r="A9">
        <f>SRC_Products!A9</f>
        <v/>
      </c>
      <c r="B9">
        <f>SRC_Products!B9</f>
        <v/>
      </c>
      <c r="C9">
        <f>SRC_Products!F9</f>
        <v/>
      </c>
      <c r="D9">
        <f>VALUE(SRC_Products!C9)</f>
        <v/>
      </c>
      <c r="E9">
        <f>VALUE(SRC_Products!D9)</f>
        <v/>
      </c>
      <c r="F9">
        <f>VALUE(SRC_Products!G9)</f>
        <v/>
      </c>
      <c r="G9">
        <f>VALUE(SRC_Products!H9)</f>
        <v/>
      </c>
      <c r="H9">
        <f>SRC_Products!E9</f>
        <v/>
      </c>
      <c r="I9">
        <f>IFERROR(VLOOKUP(H9,VM_NORM!$A:$C,3,FALSE),"")</f>
        <v/>
      </c>
      <c r="J9">
        <f>IFERROR(VLOOKUP(I9,REF_VMBySerial!$A:$B,2,FALSE),"")</f>
        <v/>
      </c>
      <c r="K9">
        <f>IFERROR(VLOOKUP(B9,REF_ProductByName!$A:$B,2,FALSE),"")</f>
        <v/>
      </c>
    </row>
    <row r="10">
      <c r="A10">
        <f>SRC_Products!A10</f>
        <v/>
      </c>
      <c r="B10">
        <f>SRC_Products!B10</f>
        <v/>
      </c>
      <c r="C10">
        <f>SRC_Products!F10</f>
        <v/>
      </c>
      <c r="D10">
        <f>VALUE(SRC_Products!C10)</f>
        <v/>
      </c>
      <c r="E10">
        <f>VALUE(SRC_Products!D10)</f>
        <v/>
      </c>
      <c r="F10">
        <f>VALUE(SRC_Products!G10)</f>
        <v/>
      </c>
      <c r="G10">
        <f>VALUE(SRC_Products!H10)</f>
        <v/>
      </c>
      <c r="H10">
        <f>SRC_Products!E10</f>
        <v/>
      </c>
      <c r="I10">
        <f>IFERROR(VLOOKUP(H10,VM_NORM!$A:$C,3,FALSE),"")</f>
        <v/>
      </c>
      <c r="J10">
        <f>IFERROR(VLOOKUP(I10,REF_VMBySerial!$A:$B,2,FALSE),"")</f>
        <v/>
      </c>
      <c r="K10">
        <f>IFERROR(VLOOKUP(B10,REF_ProductByName!$A:$B,2,FALSE),"")</f>
        <v/>
      </c>
    </row>
    <row r="11">
      <c r="A11">
        <f>SRC_Products!A11</f>
        <v/>
      </c>
      <c r="B11">
        <f>SRC_Products!B11</f>
        <v/>
      </c>
      <c r="C11">
        <f>SRC_Products!F11</f>
        <v/>
      </c>
      <c r="D11">
        <f>VALUE(SRC_Products!C11)</f>
        <v/>
      </c>
      <c r="E11">
        <f>VALUE(SRC_Products!D11)</f>
        <v/>
      </c>
      <c r="F11">
        <f>VALUE(SRC_Products!G11)</f>
        <v/>
      </c>
      <c r="G11">
        <f>VALUE(SRC_Products!H11)</f>
        <v/>
      </c>
      <c r="H11">
        <f>SRC_Products!E11</f>
        <v/>
      </c>
      <c r="I11">
        <f>IFERROR(VLOOKUP(H11,VM_NORM!$A:$C,3,FALSE),"")</f>
        <v/>
      </c>
      <c r="J11">
        <f>IFERROR(VLOOKUP(I11,REF_VMBySerial!$A:$B,2,FALSE),"")</f>
        <v/>
      </c>
      <c r="K11">
        <f>IFERROR(VLOOKUP(B11,REF_ProductByName!$A:$B,2,FALSE),"")</f>
        <v/>
      </c>
    </row>
    <row r="12">
      <c r="A12">
        <f>SRC_Products!A12</f>
        <v/>
      </c>
      <c r="B12">
        <f>SRC_Products!B12</f>
        <v/>
      </c>
      <c r="C12">
        <f>SRC_Products!F12</f>
        <v/>
      </c>
      <c r="D12">
        <f>VALUE(SRC_Products!C12)</f>
        <v/>
      </c>
      <c r="E12">
        <f>VALUE(SRC_Products!D12)</f>
        <v/>
      </c>
      <c r="F12">
        <f>VALUE(SRC_Products!G12)</f>
        <v/>
      </c>
      <c r="G12">
        <f>VALUE(SRC_Products!H12)</f>
        <v/>
      </c>
      <c r="H12">
        <f>SRC_Products!E12</f>
        <v/>
      </c>
      <c r="I12">
        <f>IFERROR(VLOOKUP(H12,VM_NORM!$A:$C,3,FALSE),"")</f>
        <v/>
      </c>
      <c r="J12">
        <f>IFERROR(VLOOKUP(I12,REF_VMBySerial!$A:$B,2,FALSE),"")</f>
        <v/>
      </c>
      <c r="K12">
        <f>IFERROR(VLOOKUP(B12,REF_ProductByName!$A:$B,2,FALSE),"")</f>
        <v/>
      </c>
    </row>
    <row r="13">
      <c r="A13">
        <f>SRC_Products!A13</f>
        <v/>
      </c>
      <c r="B13">
        <f>SRC_Products!B13</f>
        <v/>
      </c>
      <c r="C13">
        <f>SRC_Products!F13</f>
        <v/>
      </c>
      <c r="D13">
        <f>VALUE(SRC_Products!C13)</f>
        <v/>
      </c>
      <c r="E13">
        <f>VALUE(SRC_Products!D13)</f>
        <v/>
      </c>
      <c r="F13">
        <f>VALUE(SRC_Products!G13)</f>
        <v/>
      </c>
      <c r="G13">
        <f>VALUE(SRC_Products!H13)</f>
        <v/>
      </c>
      <c r="H13">
        <f>SRC_Products!E13</f>
        <v/>
      </c>
      <c r="I13">
        <f>IFERROR(VLOOKUP(H13,VM_NORM!$A:$C,3,FALSE),"")</f>
        <v/>
      </c>
      <c r="J13">
        <f>IFERROR(VLOOKUP(I13,REF_VMBySerial!$A:$B,2,FALSE),"")</f>
        <v/>
      </c>
      <c r="K13">
        <f>IFERROR(VLOOKUP(B13,REF_ProductByName!$A:$B,2,FALSE),"")</f>
        <v/>
      </c>
    </row>
    <row r="14">
      <c r="A14">
        <f>SRC_Products!A14</f>
        <v/>
      </c>
      <c r="B14">
        <f>SRC_Products!B14</f>
        <v/>
      </c>
      <c r="C14">
        <f>SRC_Products!F14</f>
        <v/>
      </c>
      <c r="D14">
        <f>VALUE(SRC_Products!C14)</f>
        <v/>
      </c>
      <c r="E14">
        <f>VALUE(SRC_Products!D14)</f>
        <v/>
      </c>
      <c r="F14">
        <f>VALUE(SRC_Products!G14)</f>
        <v/>
      </c>
      <c r="G14">
        <f>VALUE(SRC_Products!H14)</f>
        <v/>
      </c>
      <c r="H14">
        <f>SRC_Products!E14</f>
        <v/>
      </c>
      <c r="I14">
        <f>IFERROR(VLOOKUP(H14,VM_NORM!$A:$C,3,FALSE),"")</f>
        <v/>
      </c>
      <c r="J14">
        <f>IFERROR(VLOOKUP(I14,REF_VMBySerial!$A:$B,2,FALSE),"")</f>
        <v/>
      </c>
      <c r="K14">
        <f>IFERROR(VLOOKUP(B14,REF_ProductByName!$A:$B,2,FALSE),"")</f>
        <v/>
      </c>
    </row>
    <row r="15">
      <c r="A15">
        <f>SRC_Products!A15</f>
        <v/>
      </c>
      <c r="B15">
        <f>SRC_Products!B15</f>
        <v/>
      </c>
      <c r="C15">
        <f>SRC_Products!F15</f>
        <v/>
      </c>
      <c r="D15">
        <f>VALUE(SRC_Products!C15)</f>
        <v/>
      </c>
      <c r="E15">
        <f>VALUE(SRC_Products!D15)</f>
        <v/>
      </c>
      <c r="F15">
        <f>VALUE(SRC_Products!G15)</f>
        <v/>
      </c>
      <c r="G15">
        <f>VALUE(SRC_Products!H15)</f>
        <v/>
      </c>
      <c r="H15">
        <f>SRC_Products!E15</f>
        <v/>
      </c>
      <c r="I15">
        <f>IFERROR(VLOOKUP(H15,VM_NORM!$A:$C,3,FALSE),"")</f>
        <v/>
      </c>
      <c r="J15">
        <f>IFERROR(VLOOKUP(I15,REF_VMBySerial!$A:$B,2,FALSE),"")</f>
        <v/>
      </c>
      <c r="K15">
        <f>IFERROR(VLOOKUP(B15,REF_ProductByName!$A:$B,2,FALSE),"")</f>
        <v/>
      </c>
    </row>
    <row r="16">
      <c r="A16">
        <f>SRC_Products!A16</f>
        <v/>
      </c>
      <c r="B16">
        <f>SRC_Products!B16</f>
        <v/>
      </c>
      <c r="C16">
        <f>SRC_Products!F16</f>
        <v/>
      </c>
      <c r="D16">
        <f>VALUE(SRC_Products!C16)</f>
        <v/>
      </c>
      <c r="E16">
        <f>VALUE(SRC_Products!D16)</f>
        <v/>
      </c>
      <c r="F16">
        <f>VALUE(SRC_Products!G16)</f>
        <v/>
      </c>
      <c r="G16">
        <f>VALUE(SRC_Products!H16)</f>
        <v/>
      </c>
      <c r="H16">
        <f>SRC_Products!E16</f>
        <v/>
      </c>
      <c r="I16">
        <f>IFERROR(VLOOKUP(H16,VM_NORM!$A:$C,3,FALSE),"")</f>
        <v/>
      </c>
      <c r="J16">
        <f>IFERROR(VLOOKUP(I16,REF_VMBySerial!$A:$B,2,FALSE),"")</f>
        <v/>
      </c>
      <c r="K16">
        <f>IFERROR(VLOOKUP(B16,REF_ProductByName!$A:$B,2,FALSE),"")</f>
        <v/>
      </c>
    </row>
    <row r="17">
      <c r="A17">
        <f>SRC_Products!A17</f>
        <v/>
      </c>
      <c r="B17">
        <f>SRC_Products!B17</f>
        <v/>
      </c>
      <c r="C17">
        <f>SRC_Products!F17</f>
        <v/>
      </c>
      <c r="D17">
        <f>VALUE(SRC_Products!C17)</f>
        <v/>
      </c>
      <c r="E17">
        <f>VALUE(SRC_Products!D17)</f>
        <v/>
      </c>
      <c r="F17">
        <f>VALUE(SRC_Products!G17)</f>
        <v/>
      </c>
      <c r="G17">
        <f>VALUE(SRC_Products!H17)</f>
        <v/>
      </c>
      <c r="H17">
        <f>SRC_Products!E17</f>
        <v/>
      </c>
      <c r="I17">
        <f>IFERROR(VLOOKUP(H17,VM_NORM!$A:$C,3,FALSE),"")</f>
        <v/>
      </c>
      <c r="J17">
        <f>IFERROR(VLOOKUP(I17,REF_VMBySerial!$A:$B,2,FALSE),"")</f>
        <v/>
      </c>
      <c r="K17">
        <f>IFERROR(VLOOKUP(B17,REF_ProductByName!$A:$B,2,FALSE),"")</f>
        <v/>
      </c>
    </row>
    <row r="18">
      <c r="A18">
        <f>SRC_Products!A18</f>
        <v/>
      </c>
      <c r="B18">
        <f>SRC_Products!B18</f>
        <v/>
      </c>
      <c r="C18">
        <f>SRC_Products!F18</f>
        <v/>
      </c>
      <c r="D18">
        <f>VALUE(SRC_Products!C18)</f>
        <v/>
      </c>
      <c r="E18">
        <f>VALUE(SRC_Products!D18)</f>
        <v/>
      </c>
      <c r="F18">
        <f>VALUE(SRC_Products!G18)</f>
        <v/>
      </c>
      <c r="G18">
        <f>VALUE(SRC_Products!H18)</f>
        <v/>
      </c>
      <c r="H18">
        <f>SRC_Products!E18</f>
        <v/>
      </c>
      <c r="I18">
        <f>IFERROR(VLOOKUP(H18,VM_NORM!$A:$C,3,FALSE),"")</f>
        <v/>
      </c>
      <c r="J18">
        <f>IFERROR(VLOOKUP(I18,REF_VMBySerial!$A:$B,2,FALSE),"")</f>
        <v/>
      </c>
      <c r="K18">
        <f>IFERROR(VLOOKUP(B18,REF_ProductByName!$A:$B,2,FALSE),"")</f>
        <v/>
      </c>
    </row>
    <row r="19">
      <c r="A19">
        <f>SRC_Products!A19</f>
        <v/>
      </c>
      <c r="B19">
        <f>SRC_Products!B19</f>
        <v/>
      </c>
      <c r="C19">
        <f>SRC_Products!F19</f>
        <v/>
      </c>
      <c r="D19">
        <f>VALUE(SRC_Products!C19)</f>
        <v/>
      </c>
      <c r="E19">
        <f>VALUE(SRC_Products!D19)</f>
        <v/>
      </c>
      <c r="F19">
        <f>VALUE(SRC_Products!G19)</f>
        <v/>
      </c>
      <c r="G19">
        <f>VALUE(SRC_Products!H19)</f>
        <v/>
      </c>
      <c r="H19">
        <f>SRC_Products!E19</f>
        <v/>
      </c>
      <c r="I19">
        <f>IFERROR(VLOOKUP(H19,VM_NORM!$A:$C,3,FALSE),"")</f>
        <v/>
      </c>
      <c r="J19">
        <f>IFERROR(VLOOKUP(I19,REF_VMBySerial!$A:$B,2,FALSE),"")</f>
        <v/>
      </c>
      <c r="K19">
        <f>IFERROR(VLOOKUP(B19,REF_ProductByName!$A:$B,2,FALSE),"")</f>
        <v/>
      </c>
    </row>
    <row r="20">
      <c r="A20">
        <f>SRC_Products!A20</f>
        <v/>
      </c>
      <c r="B20">
        <f>SRC_Products!B20</f>
        <v/>
      </c>
      <c r="C20">
        <f>SRC_Products!F20</f>
        <v/>
      </c>
      <c r="D20">
        <f>VALUE(SRC_Products!C20)</f>
        <v/>
      </c>
      <c r="E20">
        <f>VALUE(SRC_Products!D20)</f>
        <v/>
      </c>
      <c r="F20">
        <f>VALUE(SRC_Products!G20)</f>
        <v/>
      </c>
      <c r="G20">
        <f>VALUE(SRC_Products!H20)</f>
        <v/>
      </c>
      <c r="H20">
        <f>SRC_Products!E20</f>
        <v/>
      </c>
      <c r="I20">
        <f>IFERROR(VLOOKUP(H20,VM_NORM!$A:$C,3,FALSE),"")</f>
        <v/>
      </c>
      <c r="J20">
        <f>IFERROR(VLOOKUP(I20,REF_VMBySerial!$A:$B,2,FALSE),"")</f>
        <v/>
      </c>
      <c r="K20">
        <f>IFERROR(VLOOKUP(B20,REF_ProductByName!$A:$B,2,FALSE),"")</f>
        <v/>
      </c>
    </row>
    <row r="21">
      <c r="A21">
        <f>SRC_Products!A21</f>
        <v/>
      </c>
      <c r="B21">
        <f>SRC_Products!B21</f>
        <v/>
      </c>
      <c r="C21">
        <f>SRC_Products!F21</f>
        <v/>
      </c>
      <c r="D21">
        <f>VALUE(SRC_Products!C21)</f>
        <v/>
      </c>
      <c r="E21">
        <f>VALUE(SRC_Products!D21)</f>
        <v/>
      </c>
      <c r="F21">
        <f>VALUE(SRC_Products!G21)</f>
        <v/>
      </c>
      <c r="G21">
        <f>VALUE(SRC_Products!H21)</f>
        <v/>
      </c>
      <c r="H21">
        <f>SRC_Products!E21</f>
        <v/>
      </c>
      <c r="I21">
        <f>IFERROR(VLOOKUP(H21,VM_NORM!$A:$C,3,FALSE),"")</f>
        <v/>
      </c>
      <c r="J21">
        <f>IFERROR(VLOOKUP(I21,REF_VMBySerial!$A:$B,2,FALSE),"")</f>
        <v/>
      </c>
      <c r="K21">
        <f>IFERROR(VLOOKUP(B21,REF_ProductByName!$A:$B,2,FALSE),"")</f>
        <v/>
      </c>
    </row>
    <row r="22">
      <c r="A22">
        <f>SRC_Products!A22</f>
        <v/>
      </c>
      <c r="B22">
        <f>SRC_Products!B22</f>
        <v/>
      </c>
      <c r="C22">
        <f>SRC_Products!F22</f>
        <v/>
      </c>
      <c r="D22">
        <f>VALUE(SRC_Products!C22)</f>
        <v/>
      </c>
      <c r="E22">
        <f>VALUE(SRC_Products!D22)</f>
        <v/>
      </c>
      <c r="F22">
        <f>VALUE(SRC_Products!G22)</f>
        <v/>
      </c>
      <c r="G22">
        <f>VALUE(SRC_Products!H22)</f>
        <v/>
      </c>
      <c r="H22">
        <f>SRC_Products!E22</f>
        <v/>
      </c>
      <c r="I22">
        <f>IFERROR(VLOOKUP(H22,VM_NORM!$A:$C,3,FALSE),"")</f>
        <v/>
      </c>
      <c r="J22">
        <f>IFERROR(VLOOKUP(I22,REF_VMBySerial!$A:$B,2,FALSE),"")</f>
        <v/>
      </c>
      <c r="K22">
        <f>IFERROR(VLOOKUP(B22,REF_ProductByName!$A:$B,2,FALSE),"")</f>
        <v/>
      </c>
    </row>
    <row r="23">
      <c r="A23">
        <f>SRC_Products!A23</f>
        <v/>
      </c>
      <c r="B23">
        <f>SRC_Products!B23</f>
        <v/>
      </c>
      <c r="C23">
        <f>SRC_Products!F23</f>
        <v/>
      </c>
      <c r="D23">
        <f>VALUE(SRC_Products!C23)</f>
        <v/>
      </c>
      <c r="E23">
        <f>VALUE(SRC_Products!D23)</f>
        <v/>
      </c>
      <c r="F23">
        <f>VALUE(SRC_Products!G23)</f>
        <v/>
      </c>
      <c r="G23">
        <f>VALUE(SRC_Products!H23)</f>
        <v/>
      </c>
      <c r="H23">
        <f>SRC_Products!E23</f>
        <v/>
      </c>
      <c r="I23">
        <f>IFERROR(VLOOKUP(H23,VM_NORM!$A:$C,3,FALSE),"")</f>
        <v/>
      </c>
      <c r="J23">
        <f>IFERROR(VLOOKUP(I23,REF_VMBySerial!$A:$B,2,FALSE),"")</f>
        <v/>
      </c>
      <c r="K23">
        <f>IFERROR(VLOOKUP(B23,REF_ProductByName!$A:$B,2,FALSE),"")</f>
        <v/>
      </c>
    </row>
    <row r="24">
      <c r="A24">
        <f>SRC_Products!A24</f>
        <v/>
      </c>
      <c r="B24">
        <f>SRC_Products!B24</f>
        <v/>
      </c>
      <c r="C24">
        <f>SRC_Products!F24</f>
        <v/>
      </c>
      <c r="D24">
        <f>VALUE(SRC_Products!C24)</f>
        <v/>
      </c>
      <c r="E24">
        <f>VALUE(SRC_Products!D24)</f>
        <v/>
      </c>
      <c r="F24">
        <f>VALUE(SRC_Products!G24)</f>
        <v/>
      </c>
      <c r="G24">
        <f>VALUE(SRC_Products!H24)</f>
        <v/>
      </c>
      <c r="H24">
        <f>SRC_Products!E24</f>
        <v/>
      </c>
      <c r="I24">
        <f>IFERROR(VLOOKUP(H24,VM_NORM!$A:$C,3,FALSE),"")</f>
        <v/>
      </c>
      <c r="J24">
        <f>IFERROR(VLOOKUP(I24,REF_VMBySerial!$A:$B,2,FALSE),"")</f>
        <v/>
      </c>
      <c r="K24">
        <f>IFERROR(VLOOKUP(B24,REF_ProductByName!$A:$B,2,FALSE),"")</f>
        <v/>
      </c>
    </row>
    <row r="25">
      <c r="A25">
        <f>SRC_Products!A25</f>
        <v/>
      </c>
      <c r="B25">
        <f>SRC_Products!B25</f>
        <v/>
      </c>
      <c r="C25">
        <f>SRC_Products!F25</f>
        <v/>
      </c>
      <c r="D25">
        <f>VALUE(SRC_Products!C25)</f>
        <v/>
      </c>
      <c r="E25">
        <f>VALUE(SRC_Products!D25)</f>
        <v/>
      </c>
      <c r="F25">
        <f>VALUE(SRC_Products!G25)</f>
        <v/>
      </c>
      <c r="G25">
        <f>VALUE(SRC_Products!H25)</f>
        <v/>
      </c>
      <c r="H25">
        <f>SRC_Products!E25</f>
        <v/>
      </c>
      <c r="I25">
        <f>IFERROR(VLOOKUP(H25,VM_NORM!$A:$C,3,FALSE),"")</f>
        <v/>
      </c>
      <c r="J25">
        <f>IFERROR(VLOOKUP(I25,REF_VMBySerial!$A:$B,2,FALSE),"")</f>
        <v/>
      </c>
      <c r="K25">
        <f>IFERROR(VLOOKUP(B25,REF_ProductByName!$A:$B,2,FALSE),"")</f>
        <v/>
      </c>
    </row>
    <row r="26">
      <c r="A26">
        <f>SRC_Products!A26</f>
        <v/>
      </c>
      <c r="B26">
        <f>SRC_Products!B26</f>
        <v/>
      </c>
      <c r="C26">
        <f>SRC_Products!F26</f>
        <v/>
      </c>
      <c r="D26">
        <f>VALUE(SRC_Products!C26)</f>
        <v/>
      </c>
      <c r="E26">
        <f>VALUE(SRC_Products!D26)</f>
        <v/>
      </c>
      <c r="F26">
        <f>VALUE(SRC_Products!G26)</f>
        <v/>
      </c>
      <c r="G26">
        <f>VALUE(SRC_Products!H26)</f>
        <v/>
      </c>
      <c r="H26">
        <f>SRC_Products!E26</f>
        <v/>
      </c>
      <c r="I26">
        <f>IFERROR(VLOOKUP(H26,VM_NORM!$A:$C,3,FALSE),"")</f>
        <v/>
      </c>
      <c r="J26">
        <f>IFERROR(VLOOKUP(I26,REF_VMBySerial!$A:$B,2,FALSE),"")</f>
        <v/>
      </c>
      <c r="K26">
        <f>IFERROR(VLOOKUP(B26,REF_ProductByName!$A:$B,2,FALSE),"")</f>
        <v/>
      </c>
    </row>
    <row r="27">
      <c r="A27">
        <f>SRC_Products!A27</f>
        <v/>
      </c>
      <c r="B27">
        <f>SRC_Products!B27</f>
        <v/>
      </c>
      <c r="C27">
        <f>SRC_Products!F27</f>
        <v/>
      </c>
      <c r="D27">
        <f>VALUE(SRC_Products!C27)</f>
        <v/>
      </c>
      <c r="E27">
        <f>VALUE(SRC_Products!D27)</f>
        <v/>
      </c>
      <c r="F27">
        <f>VALUE(SRC_Products!G27)</f>
        <v/>
      </c>
      <c r="G27">
        <f>VALUE(SRC_Products!H27)</f>
        <v/>
      </c>
      <c r="H27">
        <f>SRC_Products!E27</f>
        <v/>
      </c>
      <c r="I27">
        <f>IFERROR(VLOOKUP(H27,VM_NORM!$A:$C,3,FALSE),"")</f>
        <v/>
      </c>
      <c r="J27">
        <f>IFERROR(VLOOKUP(I27,REF_VMBySerial!$A:$B,2,FALSE),"")</f>
        <v/>
      </c>
      <c r="K27">
        <f>IFERROR(VLOOKUP(B27,REF_ProductByName!$A:$B,2,FALSE),"")</f>
        <v/>
      </c>
    </row>
    <row r="28">
      <c r="A28">
        <f>SRC_Products!A28</f>
        <v/>
      </c>
      <c r="B28">
        <f>SRC_Products!B28</f>
        <v/>
      </c>
      <c r="C28">
        <f>SRC_Products!F28</f>
        <v/>
      </c>
      <c r="D28">
        <f>VALUE(SRC_Products!C28)</f>
        <v/>
      </c>
      <c r="E28">
        <f>VALUE(SRC_Products!D28)</f>
        <v/>
      </c>
      <c r="F28">
        <f>VALUE(SRC_Products!G28)</f>
        <v/>
      </c>
      <c r="G28">
        <f>VALUE(SRC_Products!H28)</f>
        <v/>
      </c>
      <c r="H28">
        <f>SRC_Products!E28</f>
        <v/>
      </c>
      <c r="I28">
        <f>IFERROR(VLOOKUP(H28,VM_NORM!$A:$C,3,FALSE),"")</f>
        <v/>
      </c>
      <c r="J28">
        <f>IFERROR(VLOOKUP(I28,REF_VMBySerial!$A:$B,2,FALSE),"")</f>
        <v/>
      </c>
      <c r="K28">
        <f>IFERROR(VLOOKUP(B28,REF_ProductByName!$A:$B,2,FALSE),"")</f>
        <v/>
      </c>
    </row>
    <row r="29">
      <c r="A29">
        <f>SRC_Products!A29</f>
        <v/>
      </c>
      <c r="B29">
        <f>SRC_Products!B29</f>
        <v/>
      </c>
      <c r="C29">
        <f>SRC_Products!F29</f>
        <v/>
      </c>
      <c r="D29">
        <f>VALUE(SRC_Products!C29)</f>
        <v/>
      </c>
      <c r="E29">
        <f>VALUE(SRC_Products!D29)</f>
        <v/>
      </c>
      <c r="F29">
        <f>VALUE(SRC_Products!G29)</f>
        <v/>
      </c>
      <c r="G29">
        <f>VALUE(SRC_Products!H29)</f>
        <v/>
      </c>
      <c r="H29">
        <f>SRC_Products!E29</f>
        <v/>
      </c>
      <c r="I29">
        <f>IFERROR(VLOOKUP(H29,VM_NORM!$A:$C,3,FALSE),"")</f>
        <v/>
      </c>
      <c r="J29">
        <f>IFERROR(VLOOKUP(I29,REF_VMBySerial!$A:$B,2,FALSE),"")</f>
        <v/>
      </c>
      <c r="K29">
        <f>IFERROR(VLOOKUP(B29,REF_ProductByName!$A:$B,2,FALSE),"")</f>
        <v/>
      </c>
    </row>
    <row r="30">
      <c r="A30">
        <f>SRC_Products!A30</f>
        <v/>
      </c>
      <c r="B30">
        <f>SRC_Products!B30</f>
        <v/>
      </c>
      <c r="C30">
        <f>SRC_Products!F30</f>
        <v/>
      </c>
      <c r="D30">
        <f>VALUE(SRC_Products!C30)</f>
        <v/>
      </c>
      <c r="E30">
        <f>VALUE(SRC_Products!D30)</f>
        <v/>
      </c>
      <c r="F30">
        <f>VALUE(SRC_Products!G30)</f>
        <v/>
      </c>
      <c r="G30">
        <f>VALUE(SRC_Products!H30)</f>
        <v/>
      </c>
      <c r="H30">
        <f>SRC_Products!E30</f>
        <v/>
      </c>
      <c r="I30">
        <f>IFERROR(VLOOKUP(H30,VM_NORM!$A:$C,3,FALSE),"")</f>
        <v/>
      </c>
      <c r="J30">
        <f>IFERROR(VLOOKUP(I30,REF_VMBySerial!$A:$B,2,FALSE),"")</f>
        <v/>
      </c>
      <c r="K30">
        <f>IFERROR(VLOOKUP(B30,REF_ProductByName!$A:$B,2,FALSE),"")</f>
        <v/>
      </c>
    </row>
    <row r="31">
      <c r="A31">
        <f>SRC_Products!A31</f>
        <v/>
      </c>
      <c r="B31">
        <f>SRC_Products!B31</f>
        <v/>
      </c>
      <c r="C31">
        <f>SRC_Products!F31</f>
        <v/>
      </c>
      <c r="D31">
        <f>VALUE(SRC_Products!C31)</f>
        <v/>
      </c>
      <c r="E31">
        <f>VALUE(SRC_Products!D31)</f>
        <v/>
      </c>
      <c r="F31">
        <f>VALUE(SRC_Products!G31)</f>
        <v/>
      </c>
      <c r="G31">
        <f>VALUE(SRC_Products!H31)</f>
        <v/>
      </c>
      <c r="H31">
        <f>SRC_Products!E31</f>
        <v/>
      </c>
      <c r="I31">
        <f>IFERROR(VLOOKUP(H31,VM_NORM!$A:$C,3,FALSE),"")</f>
        <v/>
      </c>
      <c r="J31">
        <f>IFERROR(VLOOKUP(I31,REF_VMBySerial!$A:$B,2,FALSE),"")</f>
        <v/>
      </c>
      <c r="K31">
        <f>IFERROR(VLOOKUP(B31,REF_ProductByName!$A:$B,2,FALSE),"")</f>
        <v/>
      </c>
    </row>
    <row r="32">
      <c r="A32">
        <f>SRC_Products!A32</f>
        <v/>
      </c>
      <c r="B32">
        <f>SRC_Products!B32</f>
        <v/>
      </c>
      <c r="C32">
        <f>SRC_Products!F32</f>
        <v/>
      </c>
      <c r="D32">
        <f>VALUE(SRC_Products!C32)</f>
        <v/>
      </c>
      <c r="E32">
        <f>VALUE(SRC_Products!D32)</f>
        <v/>
      </c>
      <c r="F32">
        <f>VALUE(SRC_Products!G32)</f>
        <v/>
      </c>
      <c r="G32">
        <f>VALUE(SRC_Products!H32)</f>
        <v/>
      </c>
      <c r="H32">
        <f>SRC_Products!E32</f>
        <v/>
      </c>
      <c r="I32">
        <f>IFERROR(VLOOKUP(H32,VM_NORM!$A:$C,3,FALSE),"")</f>
        <v/>
      </c>
      <c r="J32">
        <f>IFERROR(VLOOKUP(I32,REF_VMBySerial!$A:$B,2,FALSE),"")</f>
        <v/>
      </c>
      <c r="K32">
        <f>IFERROR(VLOOKUP(B32,REF_ProductByName!$A:$B,2,FALSE),"")</f>
        <v/>
      </c>
    </row>
    <row r="33">
      <c r="A33">
        <f>SRC_Products!A33</f>
        <v/>
      </c>
      <c r="B33">
        <f>SRC_Products!B33</f>
        <v/>
      </c>
      <c r="C33">
        <f>SRC_Products!F33</f>
        <v/>
      </c>
      <c r="D33">
        <f>VALUE(SRC_Products!C33)</f>
        <v/>
      </c>
      <c r="E33">
        <f>VALUE(SRC_Products!D33)</f>
        <v/>
      </c>
      <c r="F33">
        <f>VALUE(SRC_Products!G33)</f>
        <v/>
      </c>
      <c r="G33">
        <f>VALUE(SRC_Products!H33)</f>
        <v/>
      </c>
      <c r="H33">
        <f>SRC_Products!E33</f>
        <v/>
      </c>
      <c r="I33">
        <f>IFERROR(VLOOKUP(H33,VM_NORM!$A:$C,3,FALSE),"")</f>
        <v/>
      </c>
      <c r="J33">
        <f>IFERROR(VLOOKUP(I33,REF_VMBySerial!$A:$B,2,FALSE),"")</f>
        <v/>
      </c>
      <c r="K33">
        <f>IFERROR(VLOOKUP(B33,REF_ProductByName!$A:$B,2,FALSE),"")</f>
        <v/>
      </c>
    </row>
    <row r="34">
      <c r="A34">
        <f>SRC_Products!A34</f>
        <v/>
      </c>
      <c r="B34">
        <f>SRC_Products!B34</f>
        <v/>
      </c>
      <c r="C34">
        <f>SRC_Products!F34</f>
        <v/>
      </c>
      <c r="D34">
        <f>VALUE(SRC_Products!C34)</f>
        <v/>
      </c>
      <c r="E34">
        <f>VALUE(SRC_Products!D34)</f>
        <v/>
      </c>
      <c r="F34">
        <f>VALUE(SRC_Products!G34)</f>
        <v/>
      </c>
      <c r="G34">
        <f>VALUE(SRC_Products!H34)</f>
        <v/>
      </c>
      <c r="H34">
        <f>SRC_Products!E34</f>
        <v/>
      </c>
      <c r="I34">
        <f>IFERROR(VLOOKUP(H34,VM_NORM!$A:$C,3,FALSE),"")</f>
        <v/>
      </c>
      <c r="J34">
        <f>IFERROR(VLOOKUP(I34,REF_VMBySerial!$A:$B,2,FALSE),"")</f>
        <v/>
      </c>
      <c r="K34">
        <f>IFERROR(VLOOKUP(B34,REF_ProductByName!$A:$B,2,FALSE),"")</f>
        <v/>
      </c>
    </row>
    <row r="35">
      <c r="A35">
        <f>SRC_Products!A35</f>
        <v/>
      </c>
      <c r="B35">
        <f>SRC_Products!B35</f>
        <v/>
      </c>
      <c r="C35">
        <f>SRC_Products!F35</f>
        <v/>
      </c>
      <c r="D35">
        <f>VALUE(SRC_Products!C35)</f>
        <v/>
      </c>
      <c r="E35">
        <f>VALUE(SRC_Products!D35)</f>
        <v/>
      </c>
      <c r="F35">
        <f>VALUE(SRC_Products!G35)</f>
        <v/>
      </c>
      <c r="G35">
        <f>VALUE(SRC_Products!H35)</f>
        <v/>
      </c>
      <c r="H35">
        <f>SRC_Products!E35</f>
        <v/>
      </c>
      <c r="I35">
        <f>IFERROR(VLOOKUP(H35,VM_NORM!$A:$C,3,FALSE),"")</f>
        <v/>
      </c>
      <c r="J35">
        <f>IFERROR(VLOOKUP(I35,REF_VMBySerial!$A:$B,2,FALSE),"")</f>
        <v/>
      </c>
      <c r="K35">
        <f>IFERROR(VLOOKUP(B35,REF_ProductByName!$A:$B,2,FALSE),"")</f>
        <v/>
      </c>
    </row>
    <row r="36">
      <c r="A36">
        <f>SRC_Products!A36</f>
        <v/>
      </c>
      <c r="B36">
        <f>SRC_Products!B36</f>
        <v/>
      </c>
      <c r="C36">
        <f>SRC_Products!F36</f>
        <v/>
      </c>
      <c r="D36">
        <f>VALUE(SRC_Products!C36)</f>
        <v/>
      </c>
      <c r="E36">
        <f>VALUE(SRC_Products!D36)</f>
        <v/>
      </c>
      <c r="F36">
        <f>VALUE(SRC_Products!G36)</f>
        <v/>
      </c>
      <c r="G36">
        <f>VALUE(SRC_Products!H36)</f>
        <v/>
      </c>
      <c r="H36">
        <f>SRC_Products!E36</f>
        <v/>
      </c>
      <c r="I36">
        <f>IFERROR(VLOOKUP(H36,VM_NORM!$A:$C,3,FALSE),"")</f>
        <v/>
      </c>
      <c r="J36">
        <f>IFERROR(VLOOKUP(I36,REF_VMBySerial!$A:$B,2,FALSE),"")</f>
        <v/>
      </c>
      <c r="K36">
        <f>IFERROR(VLOOKUP(B36,REF_ProductByName!$A:$B,2,FALSE),"")</f>
        <v/>
      </c>
    </row>
    <row r="37">
      <c r="A37">
        <f>SRC_Products!A37</f>
        <v/>
      </c>
      <c r="B37">
        <f>SRC_Products!B37</f>
        <v/>
      </c>
      <c r="C37">
        <f>SRC_Products!F37</f>
        <v/>
      </c>
      <c r="D37">
        <f>VALUE(SRC_Products!C37)</f>
        <v/>
      </c>
      <c r="E37">
        <f>VALUE(SRC_Products!D37)</f>
        <v/>
      </c>
      <c r="F37">
        <f>VALUE(SRC_Products!G37)</f>
        <v/>
      </c>
      <c r="G37">
        <f>VALUE(SRC_Products!H37)</f>
        <v/>
      </c>
      <c r="H37">
        <f>SRC_Products!E37</f>
        <v/>
      </c>
      <c r="I37">
        <f>IFERROR(VLOOKUP(H37,VM_NORM!$A:$C,3,FALSE),"")</f>
        <v/>
      </c>
      <c r="J37">
        <f>IFERROR(VLOOKUP(I37,REF_VMBySerial!$A:$B,2,FALSE),"")</f>
        <v/>
      </c>
      <c r="K37">
        <f>IFERROR(VLOOKUP(B37,REF_ProductByName!$A:$B,2,FALSE),"")</f>
        <v/>
      </c>
    </row>
    <row r="38">
      <c r="A38">
        <f>SRC_Products!A38</f>
        <v/>
      </c>
      <c r="B38">
        <f>SRC_Products!B38</f>
        <v/>
      </c>
      <c r="C38">
        <f>SRC_Products!F38</f>
        <v/>
      </c>
      <c r="D38">
        <f>VALUE(SRC_Products!C38)</f>
        <v/>
      </c>
      <c r="E38">
        <f>VALUE(SRC_Products!D38)</f>
        <v/>
      </c>
      <c r="F38">
        <f>VALUE(SRC_Products!G38)</f>
        <v/>
      </c>
      <c r="G38">
        <f>VALUE(SRC_Products!H38)</f>
        <v/>
      </c>
      <c r="H38">
        <f>SRC_Products!E38</f>
        <v/>
      </c>
      <c r="I38">
        <f>IFERROR(VLOOKUP(H38,VM_NORM!$A:$C,3,FALSE),"")</f>
        <v/>
      </c>
      <c r="J38">
        <f>IFERROR(VLOOKUP(I38,REF_VMBySerial!$A:$B,2,FALSE),"")</f>
        <v/>
      </c>
      <c r="K38">
        <f>IFERROR(VLOOKUP(B38,REF_ProductByName!$A:$B,2,FALSE),"")</f>
        <v/>
      </c>
    </row>
    <row r="39">
      <c r="A39">
        <f>SRC_Products!A39</f>
        <v/>
      </c>
      <c r="B39">
        <f>SRC_Products!B39</f>
        <v/>
      </c>
      <c r="C39">
        <f>SRC_Products!F39</f>
        <v/>
      </c>
      <c r="D39">
        <f>VALUE(SRC_Products!C39)</f>
        <v/>
      </c>
      <c r="E39">
        <f>VALUE(SRC_Products!D39)</f>
        <v/>
      </c>
      <c r="F39">
        <f>VALUE(SRC_Products!G39)</f>
        <v/>
      </c>
      <c r="G39">
        <f>VALUE(SRC_Products!H39)</f>
        <v/>
      </c>
      <c r="H39">
        <f>SRC_Products!E39</f>
        <v/>
      </c>
      <c r="I39">
        <f>IFERROR(VLOOKUP(H39,VM_NORM!$A:$C,3,FALSE),"")</f>
        <v/>
      </c>
      <c r="J39">
        <f>IFERROR(VLOOKUP(I39,REF_VMBySerial!$A:$B,2,FALSE),"")</f>
        <v/>
      </c>
      <c r="K39">
        <f>IFERROR(VLOOKUP(B39,REF_ProductByName!$A:$B,2,FALSE),"")</f>
        <v/>
      </c>
    </row>
    <row r="40">
      <c r="A40">
        <f>SRC_Products!A40</f>
        <v/>
      </c>
      <c r="B40">
        <f>SRC_Products!B40</f>
        <v/>
      </c>
      <c r="C40">
        <f>SRC_Products!F40</f>
        <v/>
      </c>
      <c r="D40">
        <f>VALUE(SRC_Products!C40)</f>
        <v/>
      </c>
      <c r="E40">
        <f>VALUE(SRC_Products!D40)</f>
        <v/>
      </c>
      <c r="F40">
        <f>VALUE(SRC_Products!G40)</f>
        <v/>
      </c>
      <c r="G40">
        <f>VALUE(SRC_Products!H40)</f>
        <v/>
      </c>
      <c r="H40">
        <f>SRC_Products!E40</f>
        <v/>
      </c>
      <c r="I40">
        <f>IFERROR(VLOOKUP(H40,VM_NORM!$A:$C,3,FALSE),"")</f>
        <v/>
      </c>
      <c r="J40">
        <f>IFERROR(VLOOKUP(I40,REF_VMBySerial!$A:$B,2,FALSE),"")</f>
        <v/>
      </c>
      <c r="K40">
        <f>IFERROR(VLOOKUP(B40,REF_ProductByName!$A:$B,2,FALSE),"")</f>
        <v/>
      </c>
    </row>
    <row r="41">
      <c r="A41">
        <f>SRC_Products!A41</f>
        <v/>
      </c>
      <c r="B41">
        <f>SRC_Products!B41</f>
        <v/>
      </c>
      <c r="C41">
        <f>SRC_Products!F41</f>
        <v/>
      </c>
      <c r="D41">
        <f>VALUE(SRC_Products!C41)</f>
        <v/>
      </c>
      <c r="E41">
        <f>VALUE(SRC_Products!D41)</f>
        <v/>
      </c>
      <c r="F41">
        <f>VALUE(SRC_Products!G41)</f>
        <v/>
      </c>
      <c r="G41">
        <f>VALUE(SRC_Products!H41)</f>
        <v/>
      </c>
      <c r="H41">
        <f>SRC_Products!E41</f>
        <v/>
      </c>
      <c r="I41">
        <f>IFERROR(VLOOKUP(H41,VM_NORM!$A:$C,3,FALSE),"")</f>
        <v/>
      </c>
      <c r="J41">
        <f>IFERROR(VLOOKUP(I41,REF_VMBySerial!$A:$B,2,FALSE),"")</f>
        <v/>
      </c>
      <c r="K41">
        <f>IFERROR(VLOOKUP(B41,REF_ProductByName!$A:$B,2,FALSE),"")</f>
        <v/>
      </c>
    </row>
    <row r="42">
      <c r="A42">
        <f>SRC_Products!A42</f>
        <v/>
      </c>
      <c r="B42">
        <f>SRC_Products!B42</f>
        <v/>
      </c>
      <c r="C42">
        <f>SRC_Products!F42</f>
        <v/>
      </c>
      <c r="D42">
        <f>VALUE(SRC_Products!C42)</f>
        <v/>
      </c>
      <c r="E42">
        <f>VALUE(SRC_Products!D42)</f>
        <v/>
      </c>
      <c r="F42">
        <f>VALUE(SRC_Products!G42)</f>
        <v/>
      </c>
      <c r="G42">
        <f>VALUE(SRC_Products!H42)</f>
        <v/>
      </c>
      <c r="H42">
        <f>SRC_Products!E42</f>
        <v/>
      </c>
      <c r="I42">
        <f>IFERROR(VLOOKUP(H42,VM_NORM!$A:$C,3,FALSE),"")</f>
        <v/>
      </c>
      <c r="J42">
        <f>IFERROR(VLOOKUP(I42,REF_VMBySerial!$A:$B,2,FALSE),"")</f>
        <v/>
      </c>
      <c r="K42">
        <f>IFERROR(VLOOKUP(B42,REF_ProductByName!$A:$B,2,FALSE),"")</f>
        <v/>
      </c>
    </row>
    <row r="43">
      <c r="A43">
        <f>SRC_Products!A43</f>
        <v/>
      </c>
      <c r="B43">
        <f>SRC_Products!B43</f>
        <v/>
      </c>
      <c r="C43">
        <f>SRC_Products!F43</f>
        <v/>
      </c>
      <c r="D43">
        <f>VALUE(SRC_Products!C43)</f>
        <v/>
      </c>
      <c r="E43">
        <f>VALUE(SRC_Products!D43)</f>
        <v/>
      </c>
      <c r="F43">
        <f>VALUE(SRC_Products!G43)</f>
        <v/>
      </c>
      <c r="G43">
        <f>VALUE(SRC_Products!H43)</f>
        <v/>
      </c>
      <c r="H43">
        <f>SRC_Products!E43</f>
        <v/>
      </c>
      <c r="I43">
        <f>IFERROR(VLOOKUP(H43,VM_NORM!$A:$C,3,FALSE),"")</f>
        <v/>
      </c>
      <c r="J43">
        <f>IFERROR(VLOOKUP(I43,REF_VMBySerial!$A:$B,2,FALSE),"")</f>
        <v/>
      </c>
      <c r="K43">
        <f>IFERROR(VLOOKUP(B43,REF_ProductByName!$A:$B,2,FALSE),"")</f>
        <v/>
      </c>
    </row>
    <row r="44">
      <c r="A44">
        <f>SRC_Products!A44</f>
        <v/>
      </c>
      <c r="B44">
        <f>SRC_Products!B44</f>
        <v/>
      </c>
      <c r="C44">
        <f>SRC_Products!F44</f>
        <v/>
      </c>
      <c r="D44">
        <f>VALUE(SRC_Products!C44)</f>
        <v/>
      </c>
      <c r="E44">
        <f>VALUE(SRC_Products!D44)</f>
        <v/>
      </c>
      <c r="F44">
        <f>VALUE(SRC_Products!G44)</f>
        <v/>
      </c>
      <c r="G44">
        <f>VALUE(SRC_Products!H44)</f>
        <v/>
      </c>
      <c r="H44">
        <f>SRC_Products!E44</f>
        <v/>
      </c>
      <c r="I44">
        <f>IFERROR(VLOOKUP(H44,VM_NORM!$A:$C,3,FALSE),"")</f>
        <v/>
      </c>
      <c r="J44">
        <f>IFERROR(VLOOKUP(I44,REF_VMBySerial!$A:$B,2,FALSE),"")</f>
        <v/>
      </c>
      <c r="K44">
        <f>IFERROR(VLOOKUP(B44,REF_ProductByName!$A:$B,2,FALSE),"")</f>
        <v/>
      </c>
    </row>
    <row r="45">
      <c r="A45">
        <f>SRC_Products!A45</f>
        <v/>
      </c>
      <c r="B45">
        <f>SRC_Products!B45</f>
        <v/>
      </c>
      <c r="C45">
        <f>SRC_Products!F45</f>
        <v/>
      </c>
      <c r="D45">
        <f>VALUE(SRC_Products!C45)</f>
        <v/>
      </c>
      <c r="E45">
        <f>VALUE(SRC_Products!D45)</f>
        <v/>
      </c>
      <c r="F45">
        <f>VALUE(SRC_Products!G45)</f>
        <v/>
      </c>
      <c r="G45">
        <f>VALUE(SRC_Products!H45)</f>
        <v/>
      </c>
      <c r="H45">
        <f>SRC_Products!E45</f>
        <v/>
      </c>
      <c r="I45">
        <f>IFERROR(VLOOKUP(H45,VM_NORM!$A:$C,3,FALSE),"")</f>
        <v/>
      </c>
      <c r="J45">
        <f>IFERROR(VLOOKUP(I45,REF_VMBySerial!$A:$B,2,FALSE),"")</f>
        <v/>
      </c>
      <c r="K45">
        <f>IFERROR(VLOOKUP(B45,REF_ProductByName!$A:$B,2,FALSE),"")</f>
        <v/>
      </c>
    </row>
    <row r="46">
      <c r="A46">
        <f>SRC_Products!A46</f>
        <v/>
      </c>
      <c r="B46">
        <f>SRC_Products!B46</f>
        <v/>
      </c>
      <c r="C46">
        <f>SRC_Products!F46</f>
        <v/>
      </c>
      <c r="D46">
        <f>VALUE(SRC_Products!C46)</f>
        <v/>
      </c>
      <c r="E46">
        <f>VALUE(SRC_Products!D46)</f>
        <v/>
      </c>
      <c r="F46">
        <f>VALUE(SRC_Products!G46)</f>
        <v/>
      </c>
      <c r="G46">
        <f>VALUE(SRC_Products!H46)</f>
        <v/>
      </c>
      <c r="H46">
        <f>SRC_Products!E46</f>
        <v/>
      </c>
      <c r="I46">
        <f>IFERROR(VLOOKUP(H46,VM_NORM!$A:$C,3,FALSE),"")</f>
        <v/>
      </c>
      <c r="J46">
        <f>IFERROR(VLOOKUP(I46,REF_VMBySerial!$A:$B,2,FALSE),"")</f>
        <v/>
      </c>
      <c r="K46">
        <f>IFERROR(VLOOKUP(B46,REF_ProductByName!$A:$B,2,FALSE),"")</f>
        <v/>
      </c>
    </row>
    <row r="47">
      <c r="A47">
        <f>SRC_Products!A47</f>
        <v/>
      </c>
      <c r="B47">
        <f>SRC_Products!B47</f>
        <v/>
      </c>
      <c r="C47">
        <f>SRC_Products!F47</f>
        <v/>
      </c>
      <c r="D47">
        <f>VALUE(SRC_Products!C47)</f>
        <v/>
      </c>
      <c r="E47">
        <f>VALUE(SRC_Products!D47)</f>
        <v/>
      </c>
      <c r="F47">
        <f>VALUE(SRC_Products!G47)</f>
        <v/>
      </c>
      <c r="G47">
        <f>VALUE(SRC_Products!H47)</f>
        <v/>
      </c>
      <c r="H47">
        <f>SRC_Products!E47</f>
        <v/>
      </c>
      <c r="I47">
        <f>IFERROR(VLOOKUP(H47,VM_NORM!$A:$C,3,FALSE),"")</f>
        <v/>
      </c>
      <c r="J47">
        <f>IFERROR(VLOOKUP(I47,REF_VMBySerial!$A:$B,2,FALSE),"")</f>
        <v/>
      </c>
      <c r="K47">
        <f>IFERROR(VLOOKUP(B47,REF_ProductByName!$A:$B,2,FALSE),"")</f>
        <v/>
      </c>
    </row>
    <row r="48">
      <c r="A48">
        <f>SRC_Products!A48</f>
        <v/>
      </c>
      <c r="B48">
        <f>SRC_Products!B48</f>
        <v/>
      </c>
      <c r="C48">
        <f>SRC_Products!F48</f>
        <v/>
      </c>
      <c r="D48">
        <f>VALUE(SRC_Products!C48)</f>
        <v/>
      </c>
      <c r="E48">
        <f>VALUE(SRC_Products!D48)</f>
        <v/>
      </c>
      <c r="F48">
        <f>VALUE(SRC_Products!G48)</f>
        <v/>
      </c>
      <c r="G48">
        <f>VALUE(SRC_Products!H48)</f>
        <v/>
      </c>
      <c r="H48">
        <f>SRC_Products!E48</f>
        <v/>
      </c>
      <c r="I48">
        <f>IFERROR(VLOOKUP(H48,VM_NORM!$A:$C,3,FALSE),"")</f>
        <v/>
      </c>
      <c r="J48">
        <f>IFERROR(VLOOKUP(I48,REF_VMBySerial!$A:$B,2,FALSE),"")</f>
        <v/>
      </c>
      <c r="K48">
        <f>IFERROR(VLOOKUP(B48,REF_ProductByName!$A:$B,2,FALSE),"")</f>
        <v/>
      </c>
    </row>
    <row r="49">
      <c r="A49">
        <f>SRC_Products!A49</f>
        <v/>
      </c>
      <c r="B49">
        <f>SRC_Products!B49</f>
        <v/>
      </c>
      <c r="C49">
        <f>SRC_Products!F49</f>
        <v/>
      </c>
      <c r="D49">
        <f>VALUE(SRC_Products!C49)</f>
        <v/>
      </c>
      <c r="E49">
        <f>VALUE(SRC_Products!D49)</f>
        <v/>
      </c>
      <c r="F49">
        <f>VALUE(SRC_Products!G49)</f>
        <v/>
      </c>
      <c r="G49">
        <f>VALUE(SRC_Products!H49)</f>
        <v/>
      </c>
      <c r="H49">
        <f>SRC_Products!E49</f>
        <v/>
      </c>
      <c r="I49">
        <f>IFERROR(VLOOKUP(H49,VM_NORM!$A:$C,3,FALSE),"")</f>
        <v/>
      </c>
      <c r="J49">
        <f>IFERROR(VLOOKUP(I49,REF_VMBySerial!$A:$B,2,FALSE),"")</f>
        <v/>
      </c>
      <c r="K49">
        <f>IFERROR(VLOOKUP(B49,REF_ProductByName!$A:$B,2,FALSE),"")</f>
        <v/>
      </c>
    </row>
    <row r="50">
      <c r="A50">
        <f>SRC_Products!A50</f>
        <v/>
      </c>
      <c r="B50">
        <f>SRC_Products!B50</f>
        <v/>
      </c>
      <c r="C50">
        <f>SRC_Products!F50</f>
        <v/>
      </c>
      <c r="D50">
        <f>VALUE(SRC_Products!C50)</f>
        <v/>
      </c>
      <c r="E50">
        <f>VALUE(SRC_Products!D50)</f>
        <v/>
      </c>
      <c r="F50">
        <f>VALUE(SRC_Products!G50)</f>
        <v/>
      </c>
      <c r="G50">
        <f>VALUE(SRC_Products!H50)</f>
        <v/>
      </c>
      <c r="H50">
        <f>SRC_Products!E50</f>
        <v/>
      </c>
      <c r="I50">
        <f>IFERROR(VLOOKUP(H50,VM_NORM!$A:$C,3,FALSE),"")</f>
        <v/>
      </c>
      <c r="J50">
        <f>IFERROR(VLOOKUP(I50,REF_VMBySerial!$A:$B,2,FALSE),"")</f>
        <v/>
      </c>
      <c r="K50">
        <f>IFERROR(VLOOKUP(B50,REF_ProductByName!$A:$B,2,FALSE),"")</f>
        <v/>
      </c>
    </row>
  </sheetData>
  <autoFilter ref="A1:K5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VmExternalId</t>
        </is>
      </c>
      <c r="B1" s="2" t="inlineStr">
        <is>
          <t>VmSerial</t>
        </is>
      </c>
      <c r="C1" s="2" t="inlineStr">
        <is>
          <t>VendingMachineId</t>
        </is>
      </c>
      <c r="D1" s="2" t="inlineStr">
        <is>
          <t>ProductExternalId</t>
        </is>
      </c>
      <c r="E1" s="2" t="inlineStr">
        <is>
          <t>ProductName</t>
        </is>
      </c>
      <c r="F1" s="2" t="inlineStr">
        <is>
          <t>ProductId</t>
        </is>
      </c>
      <c r="G1" s="2" t="inlineStr">
        <is>
          <t>QuantityOnHand</t>
        </is>
      </c>
      <c r="H1" s="2" t="inlineStr">
        <is>
          <t>MinimumStock</t>
        </is>
      </c>
      <c r="I1" s="2" t="inlineStr">
        <is>
          <t>AverageDailySales</t>
        </is>
      </c>
    </row>
    <row r="2">
      <c r="A2">
        <f>PRODUCTS_NORM!H2</f>
        <v/>
      </c>
      <c r="B2">
        <f>PRODUCTS_NORM!I2</f>
        <v/>
      </c>
      <c r="C2">
        <f>PRODUCTS_NORM!J2</f>
        <v/>
      </c>
      <c r="D2">
        <f>PRODUCTS_NORM!A2</f>
        <v/>
      </c>
      <c r="E2">
        <f>PRODUCTS_NORM!B2</f>
        <v/>
      </c>
      <c r="F2">
        <f>PRODUCTS_NORM!K2</f>
        <v/>
      </c>
      <c r="G2">
        <f>PRODUCTS_NORM!F2</f>
        <v/>
      </c>
      <c r="H2">
        <f>PRODUCTS_NORM!E2</f>
        <v/>
      </c>
      <c r="I2">
        <f>PRODUCTS_NORM!G2</f>
        <v/>
      </c>
    </row>
    <row r="3">
      <c r="A3">
        <f>PRODUCTS_NORM!H3</f>
        <v/>
      </c>
      <c r="B3">
        <f>PRODUCTS_NORM!I3</f>
        <v/>
      </c>
      <c r="C3">
        <f>PRODUCTS_NORM!J3</f>
        <v/>
      </c>
      <c r="D3">
        <f>PRODUCTS_NORM!A3</f>
        <v/>
      </c>
      <c r="E3">
        <f>PRODUCTS_NORM!B3</f>
        <v/>
      </c>
      <c r="F3">
        <f>PRODUCTS_NORM!K3</f>
        <v/>
      </c>
      <c r="G3">
        <f>PRODUCTS_NORM!F3</f>
        <v/>
      </c>
      <c r="H3">
        <f>PRODUCTS_NORM!E3</f>
        <v/>
      </c>
      <c r="I3">
        <f>PRODUCTS_NORM!G3</f>
        <v/>
      </c>
    </row>
    <row r="4">
      <c r="A4">
        <f>PRODUCTS_NORM!H4</f>
        <v/>
      </c>
      <c r="B4">
        <f>PRODUCTS_NORM!I4</f>
        <v/>
      </c>
      <c r="C4">
        <f>PRODUCTS_NORM!J4</f>
        <v/>
      </c>
      <c r="D4">
        <f>PRODUCTS_NORM!A4</f>
        <v/>
      </c>
      <c r="E4">
        <f>PRODUCTS_NORM!B4</f>
        <v/>
      </c>
      <c r="F4">
        <f>PRODUCTS_NORM!K4</f>
        <v/>
      </c>
      <c r="G4">
        <f>PRODUCTS_NORM!F4</f>
        <v/>
      </c>
      <c r="H4">
        <f>PRODUCTS_NORM!E4</f>
        <v/>
      </c>
      <c r="I4">
        <f>PRODUCTS_NORM!G4</f>
        <v/>
      </c>
    </row>
    <row r="5">
      <c r="A5">
        <f>PRODUCTS_NORM!H5</f>
        <v/>
      </c>
      <c r="B5">
        <f>PRODUCTS_NORM!I5</f>
        <v/>
      </c>
      <c r="C5">
        <f>PRODUCTS_NORM!J5</f>
        <v/>
      </c>
      <c r="D5">
        <f>PRODUCTS_NORM!A5</f>
        <v/>
      </c>
      <c r="E5">
        <f>PRODUCTS_NORM!B5</f>
        <v/>
      </c>
      <c r="F5">
        <f>PRODUCTS_NORM!K5</f>
        <v/>
      </c>
      <c r="G5">
        <f>PRODUCTS_NORM!F5</f>
        <v/>
      </c>
      <c r="H5">
        <f>PRODUCTS_NORM!E5</f>
        <v/>
      </c>
      <c r="I5">
        <f>PRODUCTS_NORM!G5</f>
        <v/>
      </c>
    </row>
    <row r="6">
      <c r="A6">
        <f>PRODUCTS_NORM!H6</f>
        <v/>
      </c>
      <c r="B6">
        <f>PRODUCTS_NORM!I6</f>
        <v/>
      </c>
      <c r="C6">
        <f>PRODUCTS_NORM!J6</f>
        <v/>
      </c>
      <c r="D6">
        <f>PRODUCTS_NORM!A6</f>
        <v/>
      </c>
      <c r="E6">
        <f>PRODUCTS_NORM!B6</f>
        <v/>
      </c>
      <c r="F6">
        <f>PRODUCTS_NORM!K6</f>
        <v/>
      </c>
      <c r="G6">
        <f>PRODUCTS_NORM!F6</f>
        <v/>
      </c>
      <c r="H6">
        <f>PRODUCTS_NORM!E6</f>
        <v/>
      </c>
      <c r="I6">
        <f>PRODUCTS_NORM!G6</f>
        <v/>
      </c>
    </row>
    <row r="7">
      <c r="A7">
        <f>PRODUCTS_NORM!H7</f>
        <v/>
      </c>
      <c r="B7">
        <f>PRODUCTS_NORM!I7</f>
        <v/>
      </c>
      <c r="C7">
        <f>PRODUCTS_NORM!J7</f>
        <v/>
      </c>
      <c r="D7">
        <f>PRODUCTS_NORM!A7</f>
        <v/>
      </c>
      <c r="E7">
        <f>PRODUCTS_NORM!B7</f>
        <v/>
      </c>
      <c r="F7">
        <f>PRODUCTS_NORM!K7</f>
        <v/>
      </c>
      <c r="G7">
        <f>PRODUCTS_NORM!F7</f>
        <v/>
      </c>
      <c r="H7">
        <f>PRODUCTS_NORM!E7</f>
        <v/>
      </c>
      <c r="I7">
        <f>PRODUCTS_NORM!G7</f>
        <v/>
      </c>
    </row>
    <row r="8">
      <c r="A8">
        <f>PRODUCTS_NORM!H8</f>
        <v/>
      </c>
      <c r="B8">
        <f>PRODUCTS_NORM!I8</f>
        <v/>
      </c>
      <c r="C8">
        <f>PRODUCTS_NORM!J8</f>
        <v/>
      </c>
      <c r="D8">
        <f>PRODUCTS_NORM!A8</f>
        <v/>
      </c>
      <c r="E8">
        <f>PRODUCTS_NORM!B8</f>
        <v/>
      </c>
      <c r="F8">
        <f>PRODUCTS_NORM!K8</f>
        <v/>
      </c>
      <c r="G8">
        <f>PRODUCTS_NORM!F8</f>
        <v/>
      </c>
      <c r="H8">
        <f>PRODUCTS_NORM!E8</f>
        <v/>
      </c>
      <c r="I8">
        <f>PRODUCTS_NORM!G8</f>
        <v/>
      </c>
    </row>
    <row r="9">
      <c r="A9">
        <f>PRODUCTS_NORM!H9</f>
        <v/>
      </c>
      <c r="B9">
        <f>PRODUCTS_NORM!I9</f>
        <v/>
      </c>
      <c r="C9">
        <f>PRODUCTS_NORM!J9</f>
        <v/>
      </c>
      <c r="D9">
        <f>PRODUCTS_NORM!A9</f>
        <v/>
      </c>
      <c r="E9">
        <f>PRODUCTS_NORM!B9</f>
        <v/>
      </c>
      <c r="F9">
        <f>PRODUCTS_NORM!K9</f>
        <v/>
      </c>
      <c r="G9">
        <f>PRODUCTS_NORM!F9</f>
        <v/>
      </c>
      <c r="H9">
        <f>PRODUCTS_NORM!E9</f>
        <v/>
      </c>
      <c r="I9">
        <f>PRODUCTS_NORM!G9</f>
        <v/>
      </c>
    </row>
    <row r="10">
      <c r="A10">
        <f>PRODUCTS_NORM!H10</f>
        <v/>
      </c>
      <c r="B10">
        <f>PRODUCTS_NORM!I10</f>
        <v/>
      </c>
      <c r="C10">
        <f>PRODUCTS_NORM!J10</f>
        <v/>
      </c>
      <c r="D10">
        <f>PRODUCTS_NORM!A10</f>
        <v/>
      </c>
      <c r="E10">
        <f>PRODUCTS_NORM!B10</f>
        <v/>
      </c>
      <c r="F10">
        <f>PRODUCTS_NORM!K10</f>
        <v/>
      </c>
      <c r="G10">
        <f>PRODUCTS_NORM!F10</f>
        <v/>
      </c>
      <c r="H10">
        <f>PRODUCTS_NORM!E10</f>
        <v/>
      </c>
      <c r="I10">
        <f>PRODUCTS_NORM!G10</f>
        <v/>
      </c>
    </row>
    <row r="11">
      <c r="A11">
        <f>PRODUCTS_NORM!H11</f>
        <v/>
      </c>
      <c r="B11">
        <f>PRODUCTS_NORM!I11</f>
        <v/>
      </c>
      <c r="C11">
        <f>PRODUCTS_NORM!J11</f>
        <v/>
      </c>
      <c r="D11">
        <f>PRODUCTS_NORM!A11</f>
        <v/>
      </c>
      <c r="E11">
        <f>PRODUCTS_NORM!B11</f>
        <v/>
      </c>
      <c r="F11">
        <f>PRODUCTS_NORM!K11</f>
        <v/>
      </c>
      <c r="G11">
        <f>PRODUCTS_NORM!F11</f>
        <v/>
      </c>
      <c r="H11">
        <f>PRODUCTS_NORM!E11</f>
        <v/>
      </c>
      <c r="I11">
        <f>PRODUCTS_NORM!G11</f>
        <v/>
      </c>
    </row>
    <row r="12">
      <c r="A12">
        <f>PRODUCTS_NORM!H12</f>
        <v/>
      </c>
      <c r="B12">
        <f>PRODUCTS_NORM!I12</f>
        <v/>
      </c>
      <c r="C12">
        <f>PRODUCTS_NORM!J12</f>
        <v/>
      </c>
      <c r="D12">
        <f>PRODUCTS_NORM!A12</f>
        <v/>
      </c>
      <c r="E12">
        <f>PRODUCTS_NORM!B12</f>
        <v/>
      </c>
      <c r="F12">
        <f>PRODUCTS_NORM!K12</f>
        <v/>
      </c>
      <c r="G12">
        <f>PRODUCTS_NORM!F12</f>
        <v/>
      </c>
      <c r="H12">
        <f>PRODUCTS_NORM!E12</f>
        <v/>
      </c>
      <c r="I12">
        <f>PRODUCTS_NORM!G12</f>
        <v/>
      </c>
    </row>
    <row r="13">
      <c r="A13">
        <f>PRODUCTS_NORM!H13</f>
        <v/>
      </c>
      <c r="B13">
        <f>PRODUCTS_NORM!I13</f>
        <v/>
      </c>
      <c r="C13">
        <f>PRODUCTS_NORM!J13</f>
        <v/>
      </c>
      <c r="D13">
        <f>PRODUCTS_NORM!A13</f>
        <v/>
      </c>
      <c r="E13">
        <f>PRODUCTS_NORM!B13</f>
        <v/>
      </c>
      <c r="F13">
        <f>PRODUCTS_NORM!K13</f>
        <v/>
      </c>
      <c r="G13">
        <f>PRODUCTS_NORM!F13</f>
        <v/>
      </c>
      <c r="H13">
        <f>PRODUCTS_NORM!E13</f>
        <v/>
      </c>
      <c r="I13">
        <f>PRODUCTS_NORM!G13</f>
        <v/>
      </c>
    </row>
    <row r="14">
      <c r="A14">
        <f>PRODUCTS_NORM!H14</f>
        <v/>
      </c>
      <c r="B14">
        <f>PRODUCTS_NORM!I14</f>
        <v/>
      </c>
      <c r="C14">
        <f>PRODUCTS_NORM!J14</f>
        <v/>
      </c>
      <c r="D14">
        <f>PRODUCTS_NORM!A14</f>
        <v/>
      </c>
      <c r="E14">
        <f>PRODUCTS_NORM!B14</f>
        <v/>
      </c>
      <c r="F14">
        <f>PRODUCTS_NORM!K14</f>
        <v/>
      </c>
      <c r="G14">
        <f>PRODUCTS_NORM!F14</f>
        <v/>
      </c>
      <c r="H14">
        <f>PRODUCTS_NORM!E14</f>
        <v/>
      </c>
      <c r="I14">
        <f>PRODUCTS_NORM!G14</f>
        <v/>
      </c>
    </row>
    <row r="15">
      <c r="A15">
        <f>PRODUCTS_NORM!H15</f>
        <v/>
      </c>
      <c r="B15">
        <f>PRODUCTS_NORM!I15</f>
        <v/>
      </c>
      <c r="C15">
        <f>PRODUCTS_NORM!J15</f>
        <v/>
      </c>
      <c r="D15">
        <f>PRODUCTS_NORM!A15</f>
        <v/>
      </c>
      <c r="E15">
        <f>PRODUCTS_NORM!B15</f>
        <v/>
      </c>
      <c r="F15">
        <f>PRODUCTS_NORM!K15</f>
        <v/>
      </c>
      <c r="G15">
        <f>PRODUCTS_NORM!F15</f>
        <v/>
      </c>
      <c r="H15">
        <f>PRODUCTS_NORM!E15</f>
        <v/>
      </c>
      <c r="I15">
        <f>PRODUCTS_NORM!G15</f>
        <v/>
      </c>
    </row>
    <row r="16">
      <c r="A16">
        <f>PRODUCTS_NORM!H16</f>
        <v/>
      </c>
      <c r="B16">
        <f>PRODUCTS_NORM!I16</f>
        <v/>
      </c>
      <c r="C16">
        <f>PRODUCTS_NORM!J16</f>
        <v/>
      </c>
      <c r="D16">
        <f>PRODUCTS_NORM!A16</f>
        <v/>
      </c>
      <c r="E16">
        <f>PRODUCTS_NORM!B16</f>
        <v/>
      </c>
      <c r="F16">
        <f>PRODUCTS_NORM!K16</f>
        <v/>
      </c>
      <c r="G16">
        <f>PRODUCTS_NORM!F16</f>
        <v/>
      </c>
      <c r="H16">
        <f>PRODUCTS_NORM!E16</f>
        <v/>
      </c>
      <c r="I16">
        <f>PRODUCTS_NORM!G16</f>
        <v/>
      </c>
    </row>
    <row r="17">
      <c r="A17">
        <f>PRODUCTS_NORM!H17</f>
        <v/>
      </c>
      <c r="B17">
        <f>PRODUCTS_NORM!I17</f>
        <v/>
      </c>
      <c r="C17">
        <f>PRODUCTS_NORM!J17</f>
        <v/>
      </c>
      <c r="D17">
        <f>PRODUCTS_NORM!A17</f>
        <v/>
      </c>
      <c r="E17">
        <f>PRODUCTS_NORM!B17</f>
        <v/>
      </c>
      <c r="F17">
        <f>PRODUCTS_NORM!K17</f>
        <v/>
      </c>
      <c r="G17">
        <f>PRODUCTS_NORM!F17</f>
        <v/>
      </c>
      <c r="H17">
        <f>PRODUCTS_NORM!E17</f>
        <v/>
      </c>
      <c r="I17">
        <f>PRODUCTS_NORM!G17</f>
        <v/>
      </c>
    </row>
    <row r="18">
      <c r="A18">
        <f>PRODUCTS_NORM!H18</f>
        <v/>
      </c>
      <c r="B18">
        <f>PRODUCTS_NORM!I18</f>
        <v/>
      </c>
      <c r="C18">
        <f>PRODUCTS_NORM!J18</f>
        <v/>
      </c>
      <c r="D18">
        <f>PRODUCTS_NORM!A18</f>
        <v/>
      </c>
      <c r="E18">
        <f>PRODUCTS_NORM!B18</f>
        <v/>
      </c>
      <c r="F18">
        <f>PRODUCTS_NORM!K18</f>
        <v/>
      </c>
      <c r="G18">
        <f>PRODUCTS_NORM!F18</f>
        <v/>
      </c>
      <c r="H18">
        <f>PRODUCTS_NORM!E18</f>
        <v/>
      </c>
      <c r="I18">
        <f>PRODUCTS_NORM!G18</f>
        <v/>
      </c>
    </row>
    <row r="19">
      <c r="A19">
        <f>PRODUCTS_NORM!H19</f>
        <v/>
      </c>
      <c r="B19">
        <f>PRODUCTS_NORM!I19</f>
        <v/>
      </c>
      <c r="C19">
        <f>PRODUCTS_NORM!J19</f>
        <v/>
      </c>
      <c r="D19">
        <f>PRODUCTS_NORM!A19</f>
        <v/>
      </c>
      <c r="E19">
        <f>PRODUCTS_NORM!B19</f>
        <v/>
      </c>
      <c r="F19">
        <f>PRODUCTS_NORM!K19</f>
        <v/>
      </c>
      <c r="G19">
        <f>PRODUCTS_NORM!F19</f>
        <v/>
      </c>
      <c r="H19">
        <f>PRODUCTS_NORM!E19</f>
        <v/>
      </c>
      <c r="I19">
        <f>PRODUCTS_NORM!G19</f>
        <v/>
      </c>
    </row>
    <row r="20">
      <c r="A20">
        <f>PRODUCTS_NORM!H20</f>
        <v/>
      </c>
      <c r="B20">
        <f>PRODUCTS_NORM!I20</f>
        <v/>
      </c>
      <c r="C20">
        <f>PRODUCTS_NORM!J20</f>
        <v/>
      </c>
      <c r="D20">
        <f>PRODUCTS_NORM!A20</f>
        <v/>
      </c>
      <c r="E20">
        <f>PRODUCTS_NORM!B20</f>
        <v/>
      </c>
      <c r="F20">
        <f>PRODUCTS_NORM!K20</f>
        <v/>
      </c>
      <c r="G20">
        <f>PRODUCTS_NORM!F20</f>
        <v/>
      </c>
      <c r="H20">
        <f>PRODUCTS_NORM!E20</f>
        <v/>
      </c>
      <c r="I20">
        <f>PRODUCTS_NORM!G20</f>
        <v/>
      </c>
    </row>
    <row r="21">
      <c r="A21">
        <f>PRODUCTS_NORM!H21</f>
        <v/>
      </c>
      <c r="B21">
        <f>PRODUCTS_NORM!I21</f>
        <v/>
      </c>
      <c r="C21">
        <f>PRODUCTS_NORM!J21</f>
        <v/>
      </c>
      <c r="D21">
        <f>PRODUCTS_NORM!A21</f>
        <v/>
      </c>
      <c r="E21">
        <f>PRODUCTS_NORM!B21</f>
        <v/>
      </c>
      <c r="F21">
        <f>PRODUCTS_NORM!K21</f>
        <v/>
      </c>
      <c r="G21">
        <f>PRODUCTS_NORM!F21</f>
        <v/>
      </c>
      <c r="H21">
        <f>PRODUCTS_NORM!E21</f>
        <v/>
      </c>
      <c r="I21">
        <f>PRODUCTS_NORM!G21</f>
        <v/>
      </c>
    </row>
    <row r="22">
      <c r="A22">
        <f>PRODUCTS_NORM!H22</f>
        <v/>
      </c>
      <c r="B22">
        <f>PRODUCTS_NORM!I22</f>
        <v/>
      </c>
      <c r="C22">
        <f>PRODUCTS_NORM!J22</f>
        <v/>
      </c>
      <c r="D22">
        <f>PRODUCTS_NORM!A22</f>
        <v/>
      </c>
      <c r="E22">
        <f>PRODUCTS_NORM!B22</f>
        <v/>
      </c>
      <c r="F22">
        <f>PRODUCTS_NORM!K22</f>
        <v/>
      </c>
      <c r="G22">
        <f>PRODUCTS_NORM!F22</f>
        <v/>
      </c>
      <c r="H22">
        <f>PRODUCTS_NORM!E22</f>
        <v/>
      </c>
      <c r="I22">
        <f>PRODUCTS_NORM!G22</f>
        <v/>
      </c>
    </row>
    <row r="23">
      <c r="A23">
        <f>PRODUCTS_NORM!H23</f>
        <v/>
      </c>
      <c r="B23">
        <f>PRODUCTS_NORM!I23</f>
        <v/>
      </c>
      <c r="C23">
        <f>PRODUCTS_NORM!J23</f>
        <v/>
      </c>
      <c r="D23">
        <f>PRODUCTS_NORM!A23</f>
        <v/>
      </c>
      <c r="E23">
        <f>PRODUCTS_NORM!B23</f>
        <v/>
      </c>
      <c r="F23">
        <f>PRODUCTS_NORM!K23</f>
        <v/>
      </c>
      <c r="G23">
        <f>PRODUCTS_NORM!F23</f>
        <v/>
      </c>
      <c r="H23">
        <f>PRODUCTS_NORM!E23</f>
        <v/>
      </c>
      <c r="I23">
        <f>PRODUCTS_NORM!G23</f>
        <v/>
      </c>
    </row>
    <row r="24">
      <c r="A24">
        <f>PRODUCTS_NORM!H24</f>
        <v/>
      </c>
      <c r="B24">
        <f>PRODUCTS_NORM!I24</f>
        <v/>
      </c>
      <c r="C24">
        <f>PRODUCTS_NORM!J24</f>
        <v/>
      </c>
      <c r="D24">
        <f>PRODUCTS_NORM!A24</f>
        <v/>
      </c>
      <c r="E24">
        <f>PRODUCTS_NORM!B24</f>
        <v/>
      </c>
      <c r="F24">
        <f>PRODUCTS_NORM!K24</f>
        <v/>
      </c>
      <c r="G24">
        <f>PRODUCTS_NORM!F24</f>
        <v/>
      </c>
      <c r="H24">
        <f>PRODUCTS_NORM!E24</f>
        <v/>
      </c>
      <c r="I24">
        <f>PRODUCTS_NORM!G24</f>
        <v/>
      </c>
    </row>
    <row r="25">
      <c r="A25">
        <f>PRODUCTS_NORM!H25</f>
        <v/>
      </c>
      <c r="B25">
        <f>PRODUCTS_NORM!I25</f>
        <v/>
      </c>
      <c r="C25">
        <f>PRODUCTS_NORM!J25</f>
        <v/>
      </c>
      <c r="D25">
        <f>PRODUCTS_NORM!A25</f>
        <v/>
      </c>
      <c r="E25">
        <f>PRODUCTS_NORM!B25</f>
        <v/>
      </c>
      <c r="F25">
        <f>PRODUCTS_NORM!K25</f>
        <v/>
      </c>
      <c r="G25">
        <f>PRODUCTS_NORM!F25</f>
        <v/>
      </c>
      <c r="H25">
        <f>PRODUCTS_NORM!E25</f>
        <v/>
      </c>
      <c r="I25">
        <f>PRODUCTS_NORM!G25</f>
        <v/>
      </c>
    </row>
    <row r="26">
      <c r="A26">
        <f>PRODUCTS_NORM!H26</f>
        <v/>
      </c>
      <c r="B26">
        <f>PRODUCTS_NORM!I26</f>
        <v/>
      </c>
      <c r="C26">
        <f>PRODUCTS_NORM!J26</f>
        <v/>
      </c>
      <c r="D26">
        <f>PRODUCTS_NORM!A26</f>
        <v/>
      </c>
      <c r="E26">
        <f>PRODUCTS_NORM!B26</f>
        <v/>
      </c>
      <c r="F26">
        <f>PRODUCTS_NORM!K26</f>
        <v/>
      </c>
      <c r="G26">
        <f>PRODUCTS_NORM!F26</f>
        <v/>
      </c>
      <c r="H26">
        <f>PRODUCTS_NORM!E26</f>
        <v/>
      </c>
      <c r="I26">
        <f>PRODUCTS_NORM!G26</f>
        <v/>
      </c>
    </row>
    <row r="27">
      <c r="A27">
        <f>PRODUCTS_NORM!H27</f>
        <v/>
      </c>
      <c r="B27">
        <f>PRODUCTS_NORM!I27</f>
        <v/>
      </c>
      <c r="C27">
        <f>PRODUCTS_NORM!J27</f>
        <v/>
      </c>
      <c r="D27">
        <f>PRODUCTS_NORM!A27</f>
        <v/>
      </c>
      <c r="E27">
        <f>PRODUCTS_NORM!B27</f>
        <v/>
      </c>
      <c r="F27">
        <f>PRODUCTS_NORM!K27</f>
        <v/>
      </c>
      <c r="G27">
        <f>PRODUCTS_NORM!F27</f>
        <v/>
      </c>
      <c r="H27">
        <f>PRODUCTS_NORM!E27</f>
        <v/>
      </c>
      <c r="I27">
        <f>PRODUCTS_NORM!G27</f>
        <v/>
      </c>
    </row>
    <row r="28">
      <c r="A28">
        <f>PRODUCTS_NORM!H28</f>
        <v/>
      </c>
      <c r="B28">
        <f>PRODUCTS_NORM!I28</f>
        <v/>
      </c>
      <c r="C28">
        <f>PRODUCTS_NORM!J28</f>
        <v/>
      </c>
      <c r="D28">
        <f>PRODUCTS_NORM!A28</f>
        <v/>
      </c>
      <c r="E28">
        <f>PRODUCTS_NORM!B28</f>
        <v/>
      </c>
      <c r="F28">
        <f>PRODUCTS_NORM!K28</f>
        <v/>
      </c>
      <c r="G28">
        <f>PRODUCTS_NORM!F28</f>
        <v/>
      </c>
      <c r="H28">
        <f>PRODUCTS_NORM!E28</f>
        <v/>
      </c>
      <c r="I28">
        <f>PRODUCTS_NORM!G28</f>
        <v/>
      </c>
    </row>
    <row r="29">
      <c r="A29">
        <f>PRODUCTS_NORM!H29</f>
        <v/>
      </c>
      <c r="B29">
        <f>PRODUCTS_NORM!I29</f>
        <v/>
      </c>
      <c r="C29">
        <f>PRODUCTS_NORM!J29</f>
        <v/>
      </c>
      <c r="D29">
        <f>PRODUCTS_NORM!A29</f>
        <v/>
      </c>
      <c r="E29">
        <f>PRODUCTS_NORM!B29</f>
        <v/>
      </c>
      <c r="F29">
        <f>PRODUCTS_NORM!K29</f>
        <v/>
      </c>
      <c r="G29">
        <f>PRODUCTS_NORM!F29</f>
        <v/>
      </c>
      <c r="H29">
        <f>PRODUCTS_NORM!E29</f>
        <v/>
      </c>
      <c r="I29">
        <f>PRODUCTS_NORM!G29</f>
        <v/>
      </c>
    </row>
    <row r="30">
      <c r="A30">
        <f>PRODUCTS_NORM!H30</f>
        <v/>
      </c>
      <c r="B30">
        <f>PRODUCTS_NORM!I30</f>
        <v/>
      </c>
      <c r="C30">
        <f>PRODUCTS_NORM!J30</f>
        <v/>
      </c>
      <c r="D30">
        <f>PRODUCTS_NORM!A30</f>
        <v/>
      </c>
      <c r="E30">
        <f>PRODUCTS_NORM!B30</f>
        <v/>
      </c>
      <c r="F30">
        <f>PRODUCTS_NORM!K30</f>
        <v/>
      </c>
      <c r="G30">
        <f>PRODUCTS_NORM!F30</f>
        <v/>
      </c>
      <c r="H30">
        <f>PRODUCTS_NORM!E30</f>
        <v/>
      </c>
      <c r="I30">
        <f>PRODUCTS_NORM!G30</f>
        <v/>
      </c>
    </row>
    <row r="31">
      <c r="A31">
        <f>PRODUCTS_NORM!H31</f>
        <v/>
      </c>
      <c r="B31">
        <f>PRODUCTS_NORM!I31</f>
        <v/>
      </c>
      <c r="C31">
        <f>PRODUCTS_NORM!J31</f>
        <v/>
      </c>
      <c r="D31">
        <f>PRODUCTS_NORM!A31</f>
        <v/>
      </c>
      <c r="E31">
        <f>PRODUCTS_NORM!B31</f>
        <v/>
      </c>
      <c r="F31">
        <f>PRODUCTS_NORM!K31</f>
        <v/>
      </c>
      <c r="G31">
        <f>PRODUCTS_NORM!F31</f>
        <v/>
      </c>
      <c r="H31">
        <f>PRODUCTS_NORM!E31</f>
        <v/>
      </c>
      <c r="I31">
        <f>PRODUCTS_NORM!G31</f>
        <v/>
      </c>
    </row>
    <row r="32">
      <c r="A32">
        <f>PRODUCTS_NORM!H32</f>
        <v/>
      </c>
      <c r="B32">
        <f>PRODUCTS_NORM!I32</f>
        <v/>
      </c>
      <c r="C32">
        <f>PRODUCTS_NORM!J32</f>
        <v/>
      </c>
      <c r="D32">
        <f>PRODUCTS_NORM!A32</f>
        <v/>
      </c>
      <c r="E32">
        <f>PRODUCTS_NORM!B32</f>
        <v/>
      </c>
      <c r="F32">
        <f>PRODUCTS_NORM!K32</f>
        <v/>
      </c>
      <c r="G32">
        <f>PRODUCTS_NORM!F32</f>
        <v/>
      </c>
      <c r="H32">
        <f>PRODUCTS_NORM!E32</f>
        <v/>
      </c>
      <c r="I32">
        <f>PRODUCTS_NORM!G32</f>
        <v/>
      </c>
    </row>
    <row r="33">
      <c r="A33">
        <f>PRODUCTS_NORM!H33</f>
        <v/>
      </c>
      <c r="B33">
        <f>PRODUCTS_NORM!I33</f>
        <v/>
      </c>
      <c r="C33">
        <f>PRODUCTS_NORM!J33</f>
        <v/>
      </c>
      <c r="D33">
        <f>PRODUCTS_NORM!A33</f>
        <v/>
      </c>
      <c r="E33">
        <f>PRODUCTS_NORM!B33</f>
        <v/>
      </c>
      <c r="F33">
        <f>PRODUCTS_NORM!K33</f>
        <v/>
      </c>
      <c r="G33">
        <f>PRODUCTS_NORM!F33</f>
        <v/>
      </c>
      <c r="H33">
        <f>PRODUCTS_NORM!E33</f>
        <v/>
      </c>
      <c r="I33">
        <f>PRODUCTS_NORM!G33</f>
        <v/>
      </c>
    </row>
    <row r="34">
      <c r="A34">
        <f>PRODUCTS_NORM!H34</f>
        <v/>
      </c>
      <c r="B34">
        <f>PRODUCTS_NORM!I34</f>
        <v/>
      </c>
      <c r="C34">
        <f>PRODUCTS_NORM!J34</f>
        <v/>
      </c>
      <c r="D34">
        <f>PRODUCTS_NORM!A34</f>
        <v/>
      </c>
      <c r="E34">
        <f>PRODUCTS_NORM!B34</f>
        <v/>
      </c>
      <c r="F34">
        <f>PRODUCTS_NORM!K34</f>
        <v/>
      </c>
      <c r="G34">
        <f>PRODUCTS_NORM!F34</f>
        <v/>
      </c>
      <c r="H34">
        <f>PRODUCTS_NORM!E34</f>
        <v/>
      </c>
      <c r="I34">
        <f>PRODUCTS_NORM!G34</f>
        <v/>
      </c>
    </row>
    <row r="35">
      <c r="A35">
        <f>PRODUCTS_NORM!H35</f>
        <v/>
      </c>
      <c r="B35">
        <f>PRODUCTS_NORM!I35</f>
        <v/>
      </c>
      <c r="C35">
        <f>PRODUCTS_NORM!J35</f>
        <v/>
      </c>
      <c r="D35">
        <f>PRODUCTS_NORM!A35</f>
        <v/>
      </c>
      <c r="E35">
        <f>PRODUCTS_NORM!B35</f>
        <v/>
      </c>
      <c r="F35">
        <f>PRODUCTS_NORM!K35</f>
        <v/>
      </c>
      <c r="G35">
        <f>PRODUCTS_NORM!F35</f>
        <v/>
      </c>
      <c r="H35">
        <f>PRODUCTS_NORM!E35</f>
        <v/>
      </c>
      <c r="I35">
        <f>PRODUCTS_NORM!G35</f>
        <v/>
      </c>
    </row>
    <row r="36">
      <c r="A36">
        <f>PRODUCTS_NORM!H36</f>
        <v/>
      </c>
      <c r="B36">
        <f>PRODUCTS_NORM!I36</f>
        <v/>
      </c>
      <c r="C36">
        <f>PRODUCTS_NORM!J36</f>
        <v/>
      </c>
      <c r="D36">
        <f>PRODUCTS_NORM!A36</f>
        <v/>
      </c>
      <c r="E36">
        <f>PRODUCTS_NORM!B36</f>
        <v/>
      </c>
      <c r="F36">
        <f>PRODUCTS_NORM!K36</f>
        <v/>
      </c>
      <c r="G36">
        <f>PRODUCTS_NORM!F36</f>
        <v/>
      </c>
      <c r="H36">
        <f>PRODUCTS_NORM!E36</f>
        <v/>
      </c>
      <c r="I36">
        <f>PRODUCTS_NORM!G36</f>
        <v/>
      </c>
    </row>
    <row r="37">
      <c r="A37">
        <f>PRODUCTS_NORM!H37</f>
        <v/>
      </c>
      <c r="B37">
        <f>PRODUCTS_NORM!I37</f>
        <v/>
      </c>
      <c r="C37">
        <f>PRODUCTS_NORM!J37</f>
        <v/>
      </c>
      <c r="D37">
        <f>PRODUCTS_NORM!A37</f>
        <v/>
      </c>
      <c r="E37">
        <f>PRODUCTS_NORM!B37</f>
        <v/>
      </c>
      <c r="F37">
        <f>PRODUCTS_NORM!K37</f>
        <v/>
      </c>
      <c r="G37">
        <f>PRODUCTS_NORM!F37</f>
        <v/>
      </c>
      <c r="H37">
        <f>PRODUCTS_NORM!E37</f>
        <v/>
      </c>
      <c r="I37">
        <f>PRODUCTS_NORM!G37</f>
        <v/>
      </c>
    </row>
    <row r="38">
      <c r="A38">
        <f>PRODUCTS_NORM!H38</f>
        <v/>
      </c>
      <c r="B38">
        <f>PRODUCTS_NORM!I38</f>
        <v/>
      </c>
      <c r="C38">
        <f>PRODUCTS_NORM!J38</f>
        <v/>
      </c>
      <c r="D38">
        <f>PRODUCTS_NORM!A38</f>
        <v/>
      </c>
      <c r="E38">
        <f>PRODUCTS_NORM!B38</f>
        <v/>
      </c>
      <c r="F38">
        <f>PRODUCTS_NORM!K38</f>
        <v/>
      </c>
      <c r="G38">
        <f>PRODUCTS_NORM!F38</f>
        <v/>
      </c>
      <c r="H38">
        <f>PRODUCTS_NORM!E38</f>
        <v/>
      </c>
      <c r="I38">
        <f>PRODUCTS_NORM!G38</f>
        <v/>
      </c>
    </row>
    <row r="39">
      <c r="A39">
        <f>PRODUCTS_NORM!H39</f>
        <v/>
      </c>
      <c r="B39">
        <f>PRODUCTS_NORM!I39</f>
        <v/>
      </c>
      <c r="C39">
        <f>PRODUCTS_NORM!J39</f>
        <v/>
      </c>
      <c r="D39">
        <f>PRODUCTS_NORM!A39</f>
        <v/>
      </c>
      <c r="E39">
        <f>PRODUCTS_NORM!B39</f>
        <v/>
      </c>
      <c r="F39">
        <f>PRODUCTS_NORM!K39</f>
        <v/>
      </c>
      <c r="G39">
        <f>PRODUCTS_NORM!F39</f>
        <v/>
      </c>
      <c r="H39">
        <f>PRODUCTS_NORM!E39</f>
        <v/>
      </c>
      <c r="I39">
        <f>PRODUCTS_NORM!G39</f>
        <v/>
      </c>
    </row>
    <row r="40">
      <c r="A40">
        <f>PRODUCTS_NORM!H40</f>
        <v/>
      </c>
      <c r="B40">
        <f>PRODUCTS_NORM!I40</f>
        <v/>
      </c>
      <c r="C40">
        <f>PRODUCTS_NORM!J40</f>
        <v/>
      </c>
      <c r="D40">
        <f>PRODUCTS_NORM!A40</f>
        <v/>
      </c>
      <c r="E40">
        <f>PRODUCTS_NORM!B40</f>
        <v/>
      </c>
      <c r="F40">
        <f>PRODUCTS_NORM!K40</f>
        <v/>
      </c>
      <c r="G40">
        <f>PRODUCTS_NORM!F40</f>
        <v/>
      </c>
      <c r="H40">
        <f>PRODUCTS_NORM!E40</f>
        <v/>
      </c>
      <c r="I40">
        <f>PRODUCTS_NORM!G40</f>
        <v/>
      </c>
    </row>
    <row r="41">
      <c r="A41">
        <f>PRODUCTS_NORM!H41</f>
        <v/>
      </c>
      <c r="B41">
        <f>PRODUCTS_NORM!I41</f>
        <v/>
      </c>
      <c r="C41">
        <f>PRODUCTS_NORM!J41</f>
        <v/>
      </c>
      <c r="D41">
        <f>PRODUCTS_NORM!A41</f>
        <v/>
      </c>
      <c r="E41">
        <f>PRODUCTS_NORM!B41</f>
        <v/>
      </c>
      <c r="F41">
        <f>PRODUCTS_NORM!K41</f>
        <v/>
      </c>
      <c r="G41">
        <f>PRODUCTS_NORM!F41</f>
        <v/>
      </c>
      <c r="H41">
        <f>PRODUCTS_NORM!E41</f>
        <v/>
      </c>
      <c r="I41">
        <f>PRODUCTS_NORM!G41</f>
        <v/>
      </c>
    </row>
    <row r="42">
      <c r="A42">
        <f>PRODUCTS_NORM!H42</f>
        <v/>
      </c>
      <c r="B42">
        <f>PRODUCTS_NORM!I42</f>
        <v/>
      </c>
      <c r="C42">
        <f>PRODUCTS_NORM!J42</f>
        <v/>
      </c>
      <c r="D42">
        <f>PRODUCTS_NORM!A42</f>
        <v/>
      </c>
      <c r="E42">
        <f>PRODUCTS_NORM!B42</f>
        <v/>
      </c>
      <c r="F42">
        <f>PRODUCTS_NORM!K42</f>
        <v/>
      </c>
      <c r="G42">
        <f>PRODUCTS_NORM!F42</f>
        <v/>
      </c>
      <c r="H42">
        <f>PRODUCTS_NORM!E42</f>
        <v/>
      </c>
      <c r="I42">
        <f>PRODUCTS_NORM!G42</f>
        <v/>
      </c>
    </row>
    <row r="43">
      <c r="A43">
        <f>PRODUCTS_NORM!H43</f>
        <v/>
      </c>
      <c r="B43">
        <f>PRODUCTS_NORM!I43</f>
        <v/>
      </c>
      <c r="C43">
        <f>PRODUCTS_NORM!J43</f>
        <v/>
      </c>
      <c r="D43">
        <f>PRODUCTS_NORM!A43</f>
        <v/>
      </c>
      <c r="E43">
        <f>PRODUCTS_NORM!B43</f>
        <v/>
      </c>
      <c r="F43">
        <f>PRODUCTS_NORM!K43</f>
        <v/>
      </c>
      <c r="G43">
        <f>PRODUCTS_NORM!F43</f>
        <v/>
      </c>
      <c r="H43">
        <f>PRODUCTS_NORM!E43</f>
        <v/>
      </c>
      <c r="I43">
        <f>PRODUCTS_NORM!G43</f>
        <v/>
      </c>
    </row>
    <row r="44">
      <c r="A44">
        <f>PRODUCTS_NORM!H44</f>
        <v/>
      </c>
      <c r="B44">
        <f>PRODUCTS_NORM!I44</f>
        <v/>
      </c>
      <c r="C44">
        <f>PRODUCTS_NORM!J44</f>
        <v/>
      </c>
      <c r="D44">
        <f>PRODUCTS_NORM!A44</f>
        <v/>
      </c>
      <c r="E44">
        <f>PRODUCTS_NORM!B44</f>
        <v/>
      </c>
      <c r="F44">
        <f>PRODUCTS_NORM!K44</f>
        <v/>
      </c>
      <c r="G44">
        <f>PRODUCTS_NORM!F44</f>
        <v/>
      </c>
      <c r="H44">
        <f>PRODUCTS_NORM!E44</f>
        <v/>
      </c>
      <c r="I44">
        <f>PRODUCTS_NORM!G44</f>
        <v/>
      </c>
    </row>
    <row r="45">
      <c r="A45">
        <f>PRODUCTS_NORM!H45</f>
        <v/>
      </c>
      <c r="B45">
        <f>PRODUCTS_NORM!I45</f>
        <v/>
      </c>
      <c r="C45">
        <f>PRODUCTS_NORM!J45</f>
        <v/>
      </c>
      <c r="D45">
        <f>PRODUCTS_NORM!A45</f>
        <v/>
      </c>
      <c r="E45">
        <f>PRODUCTS_NORM!B45</f>
        <v/>
      </c>
      <c r="F45">
        <f>PRODUCTS_NORM!K45</f>
        <v/>
      </c>
      <c r="G45">
        <f>PRODUCTS_NORM!F45</f>
        <v/>
      </c>
      <c r="H45">
        <f>PRODUCTS_NORM!E45</f>
        <v/>
      </c>
      <c r="I45">
        <f>PRODUCTS_NORM!G45</f>
        <v/>
      </c>
    </row>
    <row r="46">
      <c r="A46">
        <f>PRODUCTS_NORM!H46</f>
        <v/>
      </c>
      <c r="B46">
        <f>PRODUCTS_NORM!I46</f>
        <v/>
      </c>
      <c r="C46">
        <f>PRODUCTS_NORM!J46</f>
        <v/>
      </c>
      <c r="D46">
        <f>PRODUCTS_NORM!A46</f>
        <v/>
      </c>
      <c r="E46">
        <f>PRODUCTS_NORM!B46</f>
        <v/>
      </c>
      <c r="F46">
        <f>PRODUCTS_NORM!K46</f>
        <v/>
      </c>
      <c r="G46">
        <f>PRODUCTS_NORM!F46</f>
        <v/>
      </c>
      <c r="H46">
        <f>PRODUCTS_NORM!E46</f>
        <v/>
      </c>
      <c r="I46">
        <f>PRODUCTS_NORM!G46</f>
        <v/>
      </c>
    </row>
    <row r="47">
      <c r="A47">
        <f>PRODUCTS_NORM!H47</f>
        <v/>
      </c>
      <c r="B47">
        <f>PRODUCTS_NORM!I47</f>
        <v/>
      </c>
      <c r="C47">
        <f>PRODUCTS_NORM!J47</f>
        <v/>
      </c>
      <c r="D47">
        <f>PRODUCTS_NORM!A47</f>
        <v/>
      </c>
      <c r="E47">
        <f>PRODUCTS_NORM!B47</f>
        <v/>
      </c>
      <c r="F47">
        <f>PRODUCTS_NORM!K47</f>
        <v/>
      </c>
      <c r="G47">
        <f>PRODUCTS_NORM!F47</f>
        <v/>
      </c>
      <c r="H47">
        <f>PRODUCTS_NORM!E47</f>
        <v/>
      </c>
      <c r="I47">
        <f>PRODUCTS_NORM!G47</f>
        <v/>
      </c>
    </row>
    <row r="48">
      <c r="A48">
        <f>PRODUCTS_NORM!H48</f>
        <v/>
      </c>
      <c r="B48">
        <f>PRODUCTS_NORM!I48</f>
        <v/>
      </c>
      <c r="C48">
        <f>PRODUCTS_NORM!J48</f>
        <v/>
      </c>
      <c r="D48">
        <f>PRODUCTS_NORM!A48</f>
        <v/>
      </c>
      <c r="E48">
        <f>PRODUCTS_NORM!B48</f>
        <v/>
      </c>
      <c r="F48">
        <f>PRODUCTS_NORM!K48</f>
        <v/>
      </c>
      <c r="G48">
        <f>PRODUCTS_NORM!F48</f>
        <v/>
      </c>
      <c r="H48">
        <f>PRODUCTS_NORM!E48</f>
        <v/>
      </c>
      <c r="I48">
        <f>PRODUCTS_NORM!G48</f>
        <v/>
      </c>
    </row>
    <row r="49">
      <c r="A49">
        <f>PRODUCTS_NORM!H49</f>
        <v/>
      </c>
      <c r="B49">
        <f>PRODUCTS_NORM!I49</f>
        <v/>
      </c>
      <c r="C49">
        <f>PRODUCTS_NORM!J49</f>
        <v/>
      </c>
      <c r="D49">
        <f>PRODUCTS_NORM!A49</f>
        <v/>
      </c>
      <c r="E49">
        <f>PRODUCTS_NORM!B49</f>
        <v/>
      </c>
      <c r="F49">
        <f>PRODUCTS_NORM!K49</f>
        <v/>
      </c>
      <c r="G49">
        <f>PRODUCTS_NORM!F49</f>
        <v/>
      </c>
      <c r="H49">
        <f>PRODUCTS_NORM!E49</f>
        <v/>
      </c>
      <c r="I49">
        <f>PRODUCTS_NORM!G49</f>
        <v/>
      </c>
    </row>
    <row r="50">
      <c r="A50">
        <f>PRODUCTS_NORM!H50</f>
        <v/>
      </c>
      <c r="B50">
        <f>PRODUCTS_NORM!I50</f>
        <v/>
      </c>
      <c r="C50">
        <f>PRODUCTS_NORM!J50</f>
        <v/>
      </c>
      <c r="D50">
        <f>PRODUCTS_NORM!A50</f>
        <v/>
      </c>
      <c r="E50">
        <f>PRODUCTS_NORM!B50</f>
        <v/>
      </c>
      <c r="F50">
        <f>PRODUCTS_NORM!K50</f>
        <v/>
      </c>
      <c r="G50">
        <f>PRODUCTS_NORM!F50</f>
        <v/>
      </c>
      <c r="H50">
        <f>PRODUCTS_NORM!E50</f>
        <v/>
      </c>
      <c r="I50">
        <f>PRODUCTS_NORM!G50</f>
        <v/>
      </c>
    </row>
  </sheetData>
  <autoFilter ref="A1:I5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4" customWidth="1" min="9" max="9"/>
    <col width="24" customWidth="1" min="10" max="10"/>
    <col width="17" customWidth="1" min="11" max="11"/>
    <col width="48" customWidth="1" min="12" max="12"/>
    <col width="48" customWidth="1" min="13" max="13"/>
  </cols>
  <sheetData>
    <row r="1">
      <c r="A1" s="2" t="inlineStr">
        <is>
          <t>SoldAtRaw</t>
        </is>
      </c>
      <c r="B1" s="2" t="inlineStr">
        <is>
          <t>SoldAt</t>
        </is>
      </c>
      <c r="C1" s="2" t="inlineStr">
        <is>
          <t>ProductExternalId</t>
        </is>
      </c>
      <c r="D1" s="2" t="inlineStr">
        <is>
          <t>ProductName</t>
        </is>
      </c>
      <c r="E1" s="2" t="inlineStr">
        <is>
          <t>ProductId</t>
        </is>
      </c>
      <c r="F1" s="2" t="inlineStr">
        <is>
          <t>VmExternalId</t>
        </is>
      </c>
      <c r="G1" s="2" t="inlineStr">
        <is>
          <t>VmSerial</t>
        </is>
      </c>
      <c r="H1" s="2" t="inlineStr">
        <is>
          <t>VendingMachineId</t>
        </is>
      </c>
      <c r="I1" s="2" t="inlineStr">
        <is>
          <t>TotalAmount</t>
        </is>
      </c>
      <c r="J1" s="2" t="inlineStr">
        <is>
          <t>Quantity</t>
        </is>
      </c>
      <c r="K1" s="2" t="inlineStr">
        <is>
          <t>PaymentSource</t>
        </is>
      </c>
      <c r="L1" s="2" t="inlineStr">
        <is>
          <t>PaymentDb</t>
        </is>
      </c>
      <c r="M1" s="2" t="inlineStr">
        <is>
          <t>SalePaymentMethodId</t>
        </is>
      </c>
    </row>
    <row r="2">
      <c r="A2">
        <f>SRC_Sales!A2</f>
        <v/>
      </c>
      <c r="B2" s="6">
        <f>DATEVALUE(LEFT(A2,10))+TIMEVALUE(MID(A2,12,8))</f>
        <v/>
      </c>
      <c r="C2">
        <f>SRC_Sales!B2</f>
        <v/>
      </c>
      <c r="D2">
        <f>IFERROR(VLOOKUP(C2,PRODUCTS_NORM!$A:$B,2,FALSE),"")</f>
        <v/>
      </c>
      <c r="E2">
        <f>IFERROR(VLOOKUP(D2,REF_ProductByName!$A:$B,2,FALSE),"")</f>
        <v/>
      </c>
      <c r="F2">
        <f>IFERROR(VLOOKUP(C2,PRODUCTS_NORM!$A:$H,8,FALSE),"")</f>
        <v/>
      </c>
      <c r="G2">
        <f>IFERROR(VLOOKUP(F2,VM_NORM!$A:$C,3,FALSE),"")</f>
        <v/>
      </c>
      <c r="H2">
        <f>IFERROR(VLOOKUP(G2,REF_VMBySerial!$A:$B,2,FALSE),"")</f>
        <v/>
      </c>
      <c r="I2">
        <f>VALUE(SRC_Sales!C2)</f>
        <v/>
      </c>
      <c r="J2">
        <f>VALUE(SRC_Sales!D2)</f>
        <v/>
      </c>
      <c r="K2">
        <f>SRC_Sales!E2</f>
        <v/>
      </c>
      <c r="L2">
        <f>IFERROR(VLOOKUP(K2,MAP_Payment!$A:$B,2,FALSE),K2)</f>
        <v/>
      </c>
      <c r="M2">
        <f>IFERROR(VLOOKUP(L2,REF_SalePayment!$A:$B,2,FALSE),"")</f>
        <v/>
      </c>
    </row>
    <row r="3">
      <c r="A3">
        <f>SRC_Sales!A3</f>
        <v/>
      </c>
      <c r="B3" s="6">
        <f>DATEVALUE(LEFT(A3,10))+TIMEVALUE(MID(A3,12,8))</f>
        <v/>
      </c>
      <c r="C3">
        <f>SRC_Sales!B3</f>
        <v/>
      </c>
      <c r="D3">
        <f>IFERROR(VLOOKUP(C3,PRODUCTS_NORM!$A:$B,2,FALSE),"")</f>
        <v/>
      </c>
      <c r="E3">
        <f>IFERROR(VLOOKUP(D3,REF_ProductByName!$A:$B,2,FALSE),"")</f>
        <v/>
      </c>
      <c r="F3">
        <f>IFERROR(VLOOKUP(C3,PRODUCTS_NORM!$A:$H,8,FALSE),"")</f>
        <v/>
      </c>
      <c r="G3">
        <f>IFERROR(VLOOKUP(F3,VM_NORM!$A:$C,3,FALSE),"")</f>
        <v/>
      </c>
      <c r="H3">
        <f>IFERROR(VLOOKUP(G3,REF_VMBySerial!$A:$B,2,FALSE),"")</f>
        <v/>
      </c>
      <c r="I3">
        <f>VALUE(SRC_Sales!C3)</f>
        <v/>
      </c>
      <c r="J3">
        <f>VALUE(SRC_Sales!D3)</f>
        <v/>
      </c>
      <c r="K3">
        <f>SRC_Sales!E3</f>
        <v/>
      </c>
      <c r="L3">
        <f>IFERROR(VLOOKUP(K3,MAP_Payment!$A:$B,2,FALSE),K3)</f>
        <v/>
      </c>
      <c r="M3">
        <f>IFERROR(VLOOKUP(L3,REF_SalePayment!$A:$B,2,FALSE),"")</f>
        <v/>
      </c>
    </row>
    <row r="4">
      <c r="A4">
        <f>SRC_Sales!A4</f>
        <v/>
      </c>
      <c r="B4" s="6">
        <f>DATEVALUE(LEFT(A4,10))+TIMEVALUE(MID(A4,12,8))</f>
        <v/>
      </c>
      <c r="C4">
        <f>SRC_Sales!B4</f>
        <v/>
      </c>
      <c r="D4">
        <f>IFERROR(VLOOKUP(C4,PRODUCTS_NORM!$A:$B,2,FALSE),"")</f>
        <v/>
      </c>
      <c r="E4">
        <f>IFERROR(VLOOKUP(D4,REF_ProductByName!$A:$B,2,FALSE),"")</f>
        <v/>
      </c>
      <c r="F4">
        <f>IFERROR(VLOOKUP(C4,PRODUCTS_NORM!$A:$H,8,FALSE),"")</f>
        <v/>
      </c>
      <c r="G4">
        <f>IFERROR(VLOOKUP(F4,VM_NORM!$A:$C,3,FALSE),"")</f>
        <v/>
      </c>
      <c r="H4">
        <f>IFERROR(VLOOKUP(G4,REF_VMBySerial!$A:$B,2,FALSE),"")</f>
        <v/>
      </c>
      <c r="I4">
        <f>VALUE(SRC_Sales!C4)</f>
        <v/>
      </c>
      <c r="J4">
        <f>VALUE(SRC_Sales!D4)</f>
        <v/>
      </c>
      <c r="K4">
        <f>SRC_Sales!E4</f>
        <v/>
      </c>
      <c r="L4">
        <f>IFERROR(VLOOKUP(K4,MAP_Payment!$A:$B,2,FALSE),K4)</f>
        <v/>
      </c>
      <c r="M4">
        <f>IFERROR(VLOOKUP(L4,REF_SalePayment!$A:$B,2,FALSE),"")</f>
        <v/>
      </c>
    </row>
    <row r="5">
      <c r="A5">
        <f>SRC_Sales!A5</f>
        <v/>
      </c>
      <c r="B5" s="6">
        <f>DATEVALUE(LEFT(A5,10))+TIMEVALUE(MID(A5,12,8))</f>
        <v/>
      </c>
      <c r="C5">
        <f>SRC_Sales!B5</f>
        <v/>
      </c>
      <c r="D5">
        <f>IFERROR(VLOOKUP(C5,PRODUCTS_NORM!$A:$B,2,FALSE),"")</f>
        <v/>
      </c>
      <c r="E5">
        <f>IFERROR(VLOOKUP(D5,REF_ProductByName!$A:$B,2,FALSE),"")</f>
        <v/>
      </c>
      <c r="F5">
        <f>IFERROR(VLOOKUP(C5,PRODUCTS_NORM!$A:$H,8,FALSE),"")</f>
        <v/>
      </c>
      <c r="G5">
        <f>IFERROR(VLOOKUP(F5,VM_NORM!$A:$C,3,FALSE),"")</f>
        <v/>
      </c>
      <c r="H5">
        <f>IFERROR(VLOOKUP(G5,REF_VMBySerial!$A:$B,2,FALSE),"")</f>
        <v/>
      </c>
      <c r="I5">
        <f>VALUE(SRC_Sales!C5)</f>
        <v/>
      </c>
      <c r="J5">
        <f>VALUE(SRC_Sales!D5)</f>
        <v/>
      </c>
      <c r="K5">
        <f>SRC_Sales!E5</f>
        <v/>
      </c>
      <c r="L5">
        <f>IFERROR(VLOOKUP(K5,MAP_Payment!$A:$B,2,FALSE),K5)</f>
        <v/>
      </c>
      <c r="M5">
        <f>IFERROR(VLOOKUP(L5,REF_SalePayment!$A:$B,2,FALSE),"")</f>
        <v/>
      </c>
    </row>
    <row r="6">
      <c r="A6">
        <f>SRC_Sales!A6</f>
        <v/>
      </c>
      <c r="B6" s="6">
        <f>DATEVALUE(LEFT(A6,10))+TIMEVALUE(MID(A6,12,8))</f>
        <v/>
      </c>
      <c r="C6">
        <f>SRC_Sales!B6</f>
        <v/>
      </c>
      <c r="D6">
        <f>IFERROR(VLOOKUP(C6,PRODUCTS_NORM!$A:$B,2,FALSE),"")</f>
        <v/>
      </c>
      <c r="E6">
        <f>IFERROR(VLOOKUP(D6,REF_ProductByName!$A:$B,2,FALSE),"")</f>
        <v/>
      </c>
      <c r="F6">
        <f>IFERROR(VLOOKUP(C6,PRODUCTS_NORM!$A:$H,8,FALSE),"")</f>
        <v/>
      </c>
      <c r="G6">
        <f>IFERROR(VLOOKUP(F6,VM_NORM!$A:$C,3,FALSE),"")</f>
        <v/>
      </c>
      <c r="H6">
        <f>IFERROR(VLOOKUP(G6,REF_VMBySerial!$A:$B,2,FALSE),"")</f>
        <v/>
      </c>
      <c r="I6">
        <f>VALUE(SRC_Sales!C6)</f>
        <v/>
      </c>
      <c r="J6">
        <f>VALUE(SRC_Sales!D6)</f>
        <v/>
      </c>
      <c r="K6">
        <f>SRC_Sales!E6</f>
        <v/>
      </c>
      <c r="L6">
        <f>IFERROR(VLOOKUP(K6,MAP_Payment!$A:$B,2,FALSE),K6)</f>
        <v/>
      </c>
      <c r="M6">
        <f>IFERROR(VLOOKUP(L6,REF_SalePayment!$A:$B,2,FALSE),"")</f>
        <v/>
      </c>
    </row>
    <row r="7">
      <c r="A7">
        <f>SRC_Sales!A7</f>
        <v/>
      </c>
      <c r="B7" s="6">
        <f>DATEVALUE(LEFT(A7,10))+TIMEVALUE(MID(A7,12,8))</f>
        <v/>
      </c>
      <c r="C7">
        <f>SRC_Sales!B7</f>
        <v/>
      </c>
      <c r="D7">
        <f>IFERROR(VLOOKUP(C7,PRODUCTS_NORM!$A:$B,2,FALSE),"")</f>
        <v/>
      </c>
      <c r="E7">
        <f>IFERROR(VLOOKUP(D7,REF_ProductByName!$A:$B,2,FALSE),"")</f>
        <v/>
      </c>
      <c r="F7">
        <f>IFERROR(VLOOKUP(C7,PRODUCTS_NORM!$A:$H,8,FALSE),"")</f>
        <v/>
      </c>
      <c r="G7">
        <f>IFERROR(VLOOKUP(F7,VM_NORM!$A:$C,3,FALSE),"")</f>
        <v/>
      </c>
      <c r="H7">
        <f>IFERROR(VLOOKUP(G7,REF_VMBySerial!$A:$B,2,FALSE),"")</f>
        <v/>
      </c>
      <c r="I7">
        <f>VALUE(SRC_Sales!C7)</f>
        <v/>
      </c>
      <c r="J7">
        <f>VALUE(SRC_Sales!D7)</f>
        <v/>
      </c>
      <c r="K7">
        <f>SRC_Sales!E7</f>
        <v/>
      </c>
      <c r="L7">
        <f>IFERROR(VLOOKUP(K7,MAP_Payment!$A:$B,2,FALSE),K7)</f>
        <v/>
      </c>
      <c r="M7">
        <f>IFERROR(VLOOKUP(L7,REF_SalePayment!$A:$B,2,FALSE),"")</f>
        <v/>
      </c>
    </row>
    <row r="8">
      <c r="A8">
        <f>SRC_Sales!A8</f>
        <v/>
      </c>
      <c r="B8" s="6">
        <f>DATEVALUE(LEFT(A8,10))+TIMEVALUE(MID(A8,12,8))</f>
        <v/>
      </c>
      <c r="C8">
        <f>SRC_Sales!B8</f>
        <v/>
      </c>
      <c r="D8">
        <f>IFERROR(VLOOKUP(C8,PRODUCTS_NORM!$A:$B,2,FALSE),"")</f>
        <v/>
      </c>
      <c r="E8">
        <f>IFERROR(VLOOKUP(D8,REF_ProductByName!$A:$B,2,FALSE),"")</f>
        <v/>
      </c>
      <c r="F8">
        <f>IFERROR(VLOOKUP(C8,PRODUCTS_NORM!$A:$H,8,FALSE),"")</f>
        <v/>
      </c>
      <c r="G8">
        <f>IFERROR(VLOOKUP(F8,VM_NORM!$A:$C,3,FALSE),"")</f>
        <v/>
      </c>
      <c r="H8">
        <f>IFERROR(VLOOKUP(G8,REF_VMBySerial!$A:$B,2,FALSE),"")</f>
        <v/>
      </c>
      <c r="I8">
        <f>VALUE(SRC_Sales!C8)</f>
        <v/>
      </c>
      <c r="J8">
        <f>VALUE(SRC_Sales!D8)</f>
        <v/>
      </c>
      <c r="K8">
        <f>SRC_Sales!E8</f>
        <v/>
      </c>
      <c r="L8">
        <f>IFERROR(VLOOKUP(K8,MAP_Payment!$A:$B,2,FALSE),K8)</f>
        <v/>
      </c>
      <c r="M8">
        <f>IFERROR(VLOOKUP(L8,REF_SalePayment!$A:$B,2,FALSE),"")</f>
        <v/>
      </c>
    </row>
    <row r="9">
      <c r="A9">
        <f>SRC_Sales!A9</f>
        <v/>
      </c>
      <c r="B9" s="6">
        <f>DATEVALUE(LEFT(A9,10))+TIMEVALUE(MID(A9,12,8))</f>
        <v/>
      </c>
      <c r="C9">
        <f>SRC_Sales!B9</f>
        <v/>
      </c>
      <c r="D9">
        <f>IFERROR(VLOOKUP(C9,PRODUCTS_NORM!$A:$B,2,FALSE),"")</f>
        <v/>
      </c>
      <c r="E9">
        <f>IFERROR(VLOOKUP(D9,REF_ProductByName!$A:$B,2,FALSE),"")</f>
        <v/>
      </c>
      <c r="F9">
        <f>IFERROR(VLOOKUP(C9,PRODUCTS_NORM!$A:$H,8,FALSE),"")</f>
        <v/>
      </c>
      <c r="G9">
        <f>IFERROR(VLOOKUP(F9,VM_NORM!$A:$C,3,FALSE),"")</f>
        <v/>
      </c>
      <c r="H9">
        <f>IFERROR(VLOOKUP(G9,REF_VMBySerial!$A:$B,2,FALSE),"")</f>
        <v/>
      </c>
      <c r="I9">
        <f>VALUE(SRC_Sales!C9)</f>
        <v/>
      </c>
      <c r="J9">
        <f>VALUE(SRC_Sales!D9)</f>
        <v/>
      </c>
      <c r="K9">
        <f>SRC_Sales!E9</f>
        <v/>
      </c>
      <c r="L9">
        <f>IFERROR(VLOOKUP(K9,MAP_Payment!$A:$B,2,FALSE),K9)</f>
        <v/>
      </c>
      <c r="M9">
        <f>IFERROR(VLOOKUP(L9,REF_SalePayment!$A:$B,2,FALSE),"")</f>
        <v/>
      </c>
    </row>
    <row r="10">
      <c r="A10">
        <f>SRC_Sales!A10</f>
        <v/>
      </c>
      <c r="B10" s="6">
        <f>DATEVALUE(LEFT(A10,10))+TIMEVALUE(MID(A10,12,8))</f>
        <v/>
      </c>
      <c r="C10">
        <f>SRC_Sales!B10</f>
        <v/>
      </c>
      <c r="D10">
        <f>IFERROR(VLOOKUP(C10,PRODUCTS_NORM!$A:$B,2,FALSE),"")</f>
        <v/>
      </c>
      <c r="E10">
        <f>IFERROR(VLOOKUP(D10,REF_ProductByName!$A:$B,2,FALSE),"")</f>
        <v/>
      </c>
      <c r="F10">
        <f>IFERROR(VLOOKUP(C10,PRODUCTS_NORM!$A:$H,8,FALSE),"")</f>
        <v/>
      </c>
      <c r="G10">
        <f>IFERROR(VLOOKUP(F10,VM_NORM!$A:$C,3,FALSE),"")</f>
        <v/>
      </c>
      <c r="H10">
        <f>IFERROR(VLOOKUP(G10,REF_VMBySerial!$A:$B,2,FALSE),"")</f>
        <v/>
      </c>
      <c r="I10">
        <f>VALUE(SRC_Sales!C10)</f>
        <v/>
      </c>
      <c r="J10">
        <f>VALUE(SRC_Sales!D10)</f>
        <v/>
      </c>
      <c r="K10">
        <f>SRC_Sales!E10</f>
        <v/>
      </c>
      <c r="L10">
        <f>IFERROR(VLOOKUP(K10,MAP_Payment!$A:$B,2,FALSE),K10)</f>
        <v/>
      </c>
      <c r="M10">
        <f>IFERROR(VLOOKUP(L10,REF_SalePayment!$A:$B,2,FALSE),"")</f>
        <v/>
      </c>
    </row>
    <row r="11">
      <c r="A11">
        <f>SRC_Sales!A11</f>
        <v/>
      </c>
      <c r="B11" s="6">
        <f>DATEVALUE(LEFT(A11,10))+TIMEVALUE(MID(A11,12,8))</f>
        <v/>
      </c>
      <c r="C11">
        <f>SRC_Sales!B11</f>
        <v/>
      </c>
      <c r="D11">
        <f>IFERROR(VLOOKUP(C11,PRODUCTS_NORM!$A:$B,2,FALSE),"")</f>
        <v/>
      </c>
      <c r="E11">
        <f>IFERROR(VLOOKUP(D11,REF_ProductByName!$A:$B,2,FALSE),"")</f>
        <v/>
      </c>
      <c r="F11">
        <f>IFERROR(VLOOKUP(C11,PRODUCTS_NORM!$A:$H,8,FALSE),"")</f>
        <v/>
      </c>
      <c r="G11">
        <f>IFERROR(VLOOKUP(F11,VM_NORM!$A:$C,3,FALSE),"")</f>
        <v/>
      </c>
      <c r="H11">
        <f>IFERROR(VLOOKUP(G11,REF_VMBySerial!$A:$B,2,FALSE),"")</f>
        <v/>
      </c>
      <c r="I11">
        <f>VALUE(SRC_Sales!C11)</f>
        <v/>
      </c>
      <c r="J11">
        <f>VALUE(SRC_Sales!D11)</f>
        <v/>
      </c>
      <c r="K11">
        <f>SRC_Sales!E11</f>
        <v/>
      </c>
      <c r="L11">
        <f>IFERROR(VLOOKUP(K11,MAP_Payment!$A:$B,2,FALSE),K11)</f>
        <v/>
      </c>
      <c r="M11">
        <f>IFERROR(VLOOKUP(L11,REF_SalePayment!$A:$B,2,FALSE),"")</f>
        <v/>
      </c>
    </row>
    <row r="12">
      <c r="A12">
        <f>SRC_Sales!A12</f>
        <v/>
      </c>
      <c r="B12" s="6">
        <f>DATEVALUE(LEFT(A12,10))+TIMEVALUE(MID(A12,12,8))</f>
        <v/>
      </c>
      <c r="C12">
        <f>SRC_Sales!B12</f>
        <v/>
      </c>
      <c r="D12">
        <f>IFERROR(VLOOKUP(C12,PRODUCTS_NORM!$A:$B,2,FALSE),"")</f>
        <v/>
      </c>
      <c r="E12">
        <f>IFERROR(VLOOKUP(D12,REF_ProductByName!$A:$B,2,FALSE),"")</f>
        <v/>
      </c>
      <c r="F12">
        <f>IFERROR(VLOOKUP(C12,PRODUCTS_NORM!$A:$H,8,FALSE),"")</f>
        <v/>
      </c>
      <c r="G12">
        <f>IFERROR(VLOOKUP(F12,VM_NORM!$A:$C,3,FALSE),"")</f>
        <v/>
      </c>
      <c r="H12">
        <f>IFERROR(VLOOKUP(G12,REF_VMBySerial!$A:$B,2,FALSE),"")</f>
        <v/>
      </c>
      <c r="I12">
        <f>VALUE(SRC_Sales!C12)</f>
        <v/>
      </c>
      <c r="J12">
        <f>VALUE(SRC_Sales!D12)</f>
        <v/>
      </c>
      <c r="K12">
        <f>SRC_Sales!E12</f>
        <v/>
      </c>
      <c r="L12">
        <f>IFERROR(VLOOKUP(K12,MAP_Payment!$A:$B,2,FALSE),K12)</f>
        <v/>
      </c>
      <c r="M12">
        <f>IFERROR(VLOOKUP(L12,REF_SalePayment!$A:$B,2,FALSE),"")</f>
        <v/>
      </c>
    </row>
    <row r="13">
      <c r="A13">
        <f>SRC_Sales!A13</f>
        <v/>
      </c>
      <c r="B13" s="6">
        <f>DATEVALUE(LEFT(A13,10))+TIMEVALUE(MID(A13,12,8))</f>
        <v/>
      </c>
      <c r="C13">
        <f>SRC_Sales!B13</f>
        <v/>
      </c>
      <c r="D13">
        <f>IFERROR(VLOOKUP(C13,PRODUCTS_NORM!$A:$B,2,FALSE),"")</f>
        <v/>
      </c>
      <c r="E13">
        <f>IFERROR(VLOOKUP(D13,REF_ProductByName!$A:$B,2,FALSE),"")</f>
        <v/>
      </c>
      <c r="F13">
        <f>IFERROR(VLOOKUP(C13,PRODUCTS_NORM!$A:$H,8,FALSE),"")</f>
        <v/>
      </c>
      <c r="G13">
        <f>IFERROR(VLOOKUP(F13,VM_NORM!$A:$C,3,FALSE),"")</f>
        <v/>
      </c>
      <c r="H13">
        <f>IFERROR(VLOOKUP(G13,REF_VMBySerial!$A:$B,2,FALSE),"")</f>
        <v/>
      </c>
      <c r="I13">
        <f>VALUE(SRC_Sales!C13)</f>
        <v/>
      </c>
      <c r="J13">
        <f>VALUE(SRC_Sales!D13)</f>
        <v/>
      </c>
      <c r="K13">
        <f>SRC_Sales!E13</f>
        <v/>
      </c>
      <c r="L13">
        <f>IFERROR(VLOOKUP(K13,MAP_Payment!$A:$B,2,FALSE),K13)</f>
        <v/>
      </c>
      <c r="M13">
        <f>IFERROR(VLOOKUP(L13,REF_SalePayment!$A:$B,2,FALSE),"")</f>
        <v/>
      </c>
    </row>
    <row r="14">
      <c r="A14">
        <f>SRC_Sales!A14</f>
        <v/>
      </c>
      <c r="B14" s="6">
        <f>DATEVALUE(LEFT(A14,10))+TIMEVALUE(MID(A14,12,8))</f>
        <v/>
      </c>
      <c r="C14">
        <f>SRC_Sales!B14</f>
        <v/>
      </c>
      <c r="D14">
        <f>IFERROR(VLOOKUP(C14,PRODUCTS_NORM!$A:$B,2,FALSE),"")</f>
        <v/>
      </c>
      <c r="E14">
        <f>IFERROR(VLOOKUP(D14,REF_ProductByName!$A:$B,2,FALSE),"")</f>
        <v/>
      </c>
      <c r="F14">
        <f>IFERROR(VLOOKUP(C14,PRODUCTS_NORM!$A:$H,8,FALSE),"")</f>
        <v/>
      </c>
      <c r="G14">
        <f>IFERROR(VLOOKUP(F14,VM_NORM!$A:$C,3,FALSE),"")</f>
        <v/>
      </c>
      <c r="H14">
        <f>IFERROR(VLOOKUP(G14,REF_VMBySerial!$A:$B,2,FALSE),"")</f>
        <v/>
      </c>
      <c r="I14">
        <f>VALUE(SRC_Sales!C14)</f>
        <v/>
      </c>
      <c r="J14">
        <f>VALUE(SRC_Sales!D14)</f>
        <v/>
      </c>
      <c r="K14">
        <f>SRC_Sales!E14</f>
        <v/>
      </c>
      <c r="L14">
        <f>IFERROR(VLOOKUP(K14,MAP_Payment!$A:$B,2,FALSE),K14)</f>
        <v/>
      </c>
      <c r="M14">
        <f>IFERROR(VLOOKUP(L14,REF_SalePayment!$A:$B,2,FALSE),"")</f>
        <v/>
      </c>
    </row>
    <row r="15">
      <c r="A15">
        <f>SRC_Sales!A15</f>
        <v/>
      </c>
      <c r="B15" s="6">
        <f>DATEVALUE(LEFT(A15,10))+TIMEVALUE(MID(A15,12,8))</f>
        <v/>
      </c>
      <c r="C15">
        <f>SRC_Sales!B15</f>
        <v/>
      </c>
      <c r="D15">
        <f>IFERROR(VLOOKUP(C15,PRODUCTS_NORM!$A:$B,2,FALSE),"")</f>
        <v/>
      </c>
      <c r="E15">
        <f>IFERROR(VLOOKUP(D15,REF_ProductByName!$A:$B,2,FALSE),"")</f>
        <v/>
      </c>
      <c r="F15">
        <f>IFERROR(VLOOKUP(C15,PRODUCTS_NORM!$A:$H,8,FALSE),"")</f>
        <v/>
      </c>
      <c r="G15">
        <f>IFERROR(VLOOKUP(F15,VM_NORM!$A:$C,3,FALSE),"")</f>
        <v/>
      </c>
      <c r="H15">
        <f>IFERROR(VLOOKUP(G15,REF_VMBySerial!$A:$B,2,FALSE),"")</f>
        <v/>
      </c>
      <c r="I15">
        <f>VALUE(SRC_Sales!C15)</f>
        <v/>
      </c>
      <c r="J15">
        <f>VALUE(SRC_Sales!D15)</f>
        <v/>
      </c>
      <c r="K15">
        <f>SRC_Sales!E15</f>
        <v/>
      </c>
      <c r="L15">
        <f>IFERROR(VLOOKUP(K15,MAP_Payment!$A:$B,2,FALSE),K15)</f>
        <v/>
      </c>
      <c r="M15">
        <f>IFERROR(VLOOKUP(L15,REF_SalePayment!$A:$B,2,FALSE),"")</f>
        <v/>
      </c>
    </row>
    <row r="16">
      <c r="A16">
        <f>SRC_Sales!A16</f>
        <v/>
      </c>
      <c r="B16" s="6">
        <f>DATEVALUE(LEFT(A16,10))+TIMEVALUE(MID(A16,12,8))</f>
        <v/>
      </c>
      <c r="C16">
        <f>SRC_Sales!B16</f>
        <v/>
      </c>
      <c r="D16">
        <f>IFERROR(VLOOKUP(C16,PRODUCTS_NORM!$A:$B,2,FALSE),"")</f>
        <v/>
      </c>
      <c r="E16">
        <f>IFERROR(VLOOKUP(D16,REF_ProductByName!$A:$B,2,FALSE),"")</f>
        <v/>
      </c>
      <c r="F16">
        <f>IFERROR(VLOOKUP(C16,PRODUCTS_NORM!$A:$H,8,FALSE),"")</f>
        <v/>
      </c>
      <c r="G16">
        <f>IFERROR(VLOOKUP(F16,VM_NORM!$A:$C,3,FALSE),"")</f>
        <v/>
      </c>
      <c r="H16">
        <f>IFERROR(VLOOKUP(G16,REF_VMBySerial!$A:$B,2,FALSE),"")</f>
        <v/>
      </c>
      <c r="I16">
        <f>VALUE(SRC_Sales!C16)</f>
        <v/>
      </c>
      <c r="J16">
        <f>VALUE(SRC_Sales!D16)</f>
        <v/>
      </c>
      <c r="K16">
        <f>SRC_Sales!E16</f>
        <v/>
      </c>
      <c r="L16">
        <f>IFERROR(VLOOKUP(K16,MAP_Payment!$A:$B,2,FALSE),K16)</f>
        <v/>
      </c>
      <c r="M16">
        <f>IFERROR(VLOOKUP(L16,REF_SalePayment!$A:$B,2,FALSE),"")</f>
        <v/>
      </c>
    </row>
    <row r="17">
      <c r="A17">
        <f>SRC_Sales!A17</f>
        <v/>
      </c>
      <c r="B17" s="6">
        <f>DATEVALUE(LEFT(A17,10))+TIMEVALUE(MID(A17,12,8))</f>
        <v/>
      </c>
      <c r="C17">
        <f>SRC_Sales!B17</f>
        <v/>
      </c>
      <c r="D17">
        <f>IFERROR(VLOOKUP(C17,PRODUCTS_NORM!$A:$B,2,FALSE),"")</f>
        <v/>
      </c>
      <c r="E17">
        <f>IFERROR(VLOOKUP(D17,REF_ProductByName!$A:$B,2,FALSE),"")</f>
        <v/>
      </c>
      <c r="F17">
        <f>IFERROR(VLOOKUP(C17,PRODUCTS_NORM!$A:$H,8,FALSE),"")</f>
        <v/>
      </c>
      <c r="G17">
        <f>IFERROR(VLOOKUP(F17,VM_NORM!$A:$C,3,FALSE),"")</f>
        <v/>
      </c>
      <c r="H17">
        <f>IFERROR(VLOOKUP(G17,REF_VMBySerial!$A:$B,2,FALSE),"")</f>
        <v/>
      </c>
      <c r="I17">
        <f>VALUE(SRC_Sales!C17)</f>
        <v/>
      </c>
      <c r="J17">
        <f>VALUE(SRC_Sales!D17)</f>
        <v/>
      </c>
      <c r="K17">
        <f>SRC_Sales!E17</f>
        <v/>
      </c>
      <c r="L17">
        <f>IFERROR(VLOOKUP(K17,MAP_Payment!$A:$B,2,FALSE),K17)</f>
        <v/>
      </c>
      <c r="M17">
        <f>IFERROR(VLOOKUP(L17,REF_SalePayment!$A:$B,2,FALSE),"")</f>
        <v/>
      </c>
    </row>
    <row r="18">
      <c r="A18">
        <f>SRC_Sales!A18</f>
        <v/>
      </c>
      <c r="B18" s="6">
        <f>DATEVALUE(LEFT(A18,10))+TIMEVALUE(MID(A18,12,8))</f>
        <v/>
      </c>
      <c r="C18">
        <f>SRC_Sales!B18</f>
        <v/>
      </c>
      <c r="D18">
        <f>IFERROR(VLOOKUP(C18,PRODUCTS_NORM!$A:$B,2,FALSE),"")</f>
        <v/>
      </c>
      <c r="E18">
        <f>IFERROR(VLOOKUP(D18,REF_ProductByName!$A:$B,2,FALSE),"")</f>
        <v/>
      </c>
      <c r="F18">
        <f>IFERROR(VLOOKUP(C18,PRODUCTS_NORM!$A:$H,8,FALSE),"")</f>
        <v/>
      </c>
      <c r="G18">
        <f>IFERROR(VLOOKUP(F18,VM_NORM!$A:$C,3,FALSE),"")</f>
        <v/>
      </c>
      <c r="H18">
        <f>IFERROR(VLOOKUP(G18,REF_VMBySerial!$A:$B,2,FALSE),"")</f>
        <v/>
      </c>
      <c r="I18">
        <f>VALUE(SRC_Sales!C18)</f>
        <v/>
      </c>
      <c r="J18">
        <f>VALUE(SRC_Sales!D18)</f>
        <v/>
      </c>
      <c r="K18">
        <f>SRC_Sales!E18</f>
        <v/>
      </c>
      <c r="L18">
        <f>IFERROR(VLOOKUP(K18,MAP_Payment!$A:$B,2,FALSE),K18)</f>
        <v/>
      </c>
      <c r="M18">
        <f>IFERROR(VLOOKUP(L18,REF_SalePayment!$A:$B,2,FALSE),"")</f>
        <v/>
      </c>
    </row>
    <row r="19">
      <c r="A19">
        <f>SRC_Sales!A19</f>
        <v/>
      </c>
      <c r="B19" s="6">
        <f>DATEVALUE(LEFT(A19,10))+TIMEVALUE(MID(A19,12,8))</f>
        <v/>
      </c>
      <c r="C19">
        <f>SRC_Sales!B19</f>
        <v/>
      </c>
      <c r="D19">
        <f>IFERROR(VLOOKUP(C19,PRODUCTS_NORM!$A:$B,2,FALSE),"")</f>
        <v/>
      </c>
      <c r="E19">
        <f>IFERROR(VLOOKUP(D19,REF_ProductByName!$A:$B,2,FALSE),"")</f>
        <v/>
      </c>
      <c r="F19">
        <f>IFERROR(VLOOKUP(C19,PRODUCTS_NORM!$A:$H,8,FALSE),"")</f>
        <v/>
      </c>
      <c r="G19">
        <f>IFERROR(VLOOKUP(F19,VM_NORM!$A:$C,3,FALSE),"")</f>
        <v/>
      </c>
      <c r="H19">
        <f>IFERROR(VLOOKUP(G19,REF_VMBySerial!$A:$B,2,FALSE),"")</f>
        <v/>
      </c>
      <c r="I19">
        <f>VALUE(SRC_Sales!C19)</f>
        <v/>
      </c>
      <c r="J19">
        <f>VALUE(SRC_Sales!D19)</f>
        <v/>
      </c>
      <c r="K19">
        <f>SRC_Sales!E19</f>
        <v/>
      </c>
      <c r="L19">
        <f>IFERROR(VLOOKUP(K19,MAP_Payment!$A:$B,2,FALSE),K19)</f>
        <v/>
      </c>
      <c r="M19">
        <f>IFERROR(VLOOKUP(L19,REF_SalePayment!$A:$B,2,FALSE),"")</f>
        <v/>
      </c>
    </row>
    <row r="20">
      <c r="A20">
        <f>SRC_Sales!A20</f>
        <v/>
      </c>
      <c r="B20" s="6">
        <f>DATEVALUE(LEFT(A20,10))+TIMEVALUE(MID(A20,12,8))</f>
        <v/>
      </c>
      <c r="C20">
        <f>SRC_Sales!B20</f>
        <v/>
      </c>
      <c r="D20">
        <f>IFERROR(VLOOKUP(C20,PRODUCTS_NORM!$A:$B,2,FALSE),"")</f>
        <v/>
      </c>
      <c r="E20">
        <f>IFERROR(VLOOKUP(D20,REF_ProductByName!$A:$B,2,FALSE),"")</f>
        <v/>
      </c>
      <c r="F20">
        <f>IFERROR(VLOOKUP(C20,PRODUCTS_NORM!$A:$H,8,FALSE),"")</f>
        <v/>
      </c>
      <c r="G20">
        <f>IFERROR(VLOOKUP(F20,VM_NORM!$A:$C,3,FALSE),"")</f>
        <v/>
      </c>
      <c r="H20">
        <f>IFERROR(VLOOKUP(G20,REF_VMBySerial!$A:$B,2,FALSE),"")</f>
        <v/>
      </c>
      <c r="I20">
        <f>VALUE(SRC_Sales!C20)</f>
        <v/>
      </c>
      <c r="J20">
        <f>VALUE(SRC_Sales!D20)</f>
        <v/>
      </c>
      <c r="K20">
        <f>SRC_Sales!E20</f>
        <v/>
      </c>
      <c r="L20">
        <f>IFERROR(VLOOKUP(K20,MAP_Payment!$A:$B,2,FALSE),K20)</f>
        <v/>
      </c>
      <c r="M20">
        <f>IFERROR(VLOOKUP(L20,REF_SalePayment!$A:$B,2,FALSE),"")</f>
        <v/>
      </c>
    </row>
    <row r="21">
      <c r="A21">
        <f>SRC_Sales!A21</f>
        <v/>
      </c>
      <c r="B21" s="6">
        <f>DATEVALUE(LEFT(A21,10))+TIMEVALUE(MID(A21,12,8))</f>
        <v/>
      </c>
      <c r="C21">
        <f>SRC_Sales!B21</f>
        <v/>
      </c>
      <c r="D21">
        <f>IFERROR(VLOOKUP(C21,PRODUCTS_NORM!$A:$B,2,FALSE),"")</f>
        <v/>
      </c>
      <c r="E21">
        <f>IFERROR(VLOOKUP(D21,REF_ProductByName!$A:$B,2,FALSE),"")</f>
        <v/>
      </c>
      <c r="F21">
        <f>IFERROR(VLOOKUP(C21,PRODUCTS_NORM!$A:$H,8,FALSE),"")</f>
        <v/>
      </c>
      <c r="G21">
        <f>IFERROR(VLOOKUP(F21,VM_NORM!$A:$C,3,FALSE),"")</f>
        <v/>
      </c>
      <c r="H21">
        <f>IFERROR(VLOOKUP(G21,REF_VMBySerial!$A:$B,2,FALSE),"")</f>
        <v/>
      </c>
      <c r="I21">
        <f>VALUE(SRC_Sales!C21)</f>
        <v/>
      </c>
      <c r="J21">
        <f>VALUE(SRC_Sales!D21)</f>
        <v/>
      </c>
      <c r="K21">
        <f>SRC_Sales!E21</f>
        <v/>
      </c>
      <c r="L21">
        <f>IFERROR(VLOOKUP(K21,MAP_Payment!$A:$B,2,FALSE),K21)</f>
        <v/>
      </c>
      <c r="M21">
        <f>IFERROR(VLOOKUP(L21,REF_SalePayment!$A:$B,2,FALSE),"")</f>
        <v/>
      </c>
    </row>
    <row r="22">
      <c r="A22">
        <f>SRC_Sales!A22</f>
        <v/>
      </c>
      <c r="B22" s="6">
        <f>DATEVALUE(LEFT(A22,10))+TIMEVALUE(MID(A22,12,8))</f>
        <v/>
      </c>
      <c r="C22">
        <f>SRC_Sales!B22</f>
        <v/>
      </c>
      <c r="D22">
        <f>IFERROR(VLOOKUP(C22,PRODUCTS_NORM!$A:$B,2,FALSE),"")</f>
        <v/>
      </c>
      <c r="E22">
        <f>IFERROR(VLOOKUP(D22,REF_ProductByName!$A:$B,2,FALSE),"")</f>
        <v/>
      </c>
      <c r="F22">
        <f>IFERROR(VLOOKUP(C22,PRODUCTS_NORM!$A:$H,8,FALSE),"")</f>
        <v/>
      </c>
      <c r="G22">
        <f>IFERROR(VLOOKUP(F22,VM_NORM!$A:$C,3,FALSE),"")</f>
        <v/>
      </c>
      <c r="H22">
        <f>IFERROR(VLOOKUP(G22,REF_VMBySerial!$A:$B,2,FALSE),"")</f>
        <v/>
      </c>
      <c r="I22">
        <f>VALUE(SRC_Sales!C22)</f>
        <v/>
      </c>
      <c r="J22">
        <f>VALUE(SRC_Sales!D22)</f>
        <v/>
      </c>
      <c r="K22">
        <f>SRC_Sales!E22</f>
        <v/>
      </c>
      <c r="L22">
        <f>IFERROR(VLOOKUP(K22,MAP_Payment!$A:$B,2,FALSE),K22)</f>
        <v/>
      </c>
      <c r="M22">
        <f>IFERROR(VLOOKUP(L22,REF_SalePayment!$A:$B,2,FALSE),"")</f>
        <v/>
      </c>
    </row>
    <row r="23">
      <c r="A23">
        <f>SRC_Sales!A23</f>
        <v/>
      </c>
      <c r="B23" s="6">
        <f>DATEVALUE(LEFT(A23,10))+TIMEVALUE(MID(A23,12,8))</f>
        <v/>
      </c>
      <c r="C23">
        <f>SRC_Sales!B23</f>
        <v/>
      </c>
      <c r="D23">
        <f>IFERROR(VLOOKUP(C23,PRODUCTS_NORM!$A:$B,2,FALSE),"")</f>
        <v/>
      </c>
      <c r="E23">
        <f>IFERROR(VLOOKUP(D23,REF_ProductByName!$A:$B,2,FALSE),"")</f>
        <v/>
      </c>
      <c r="F23">
        <f>IFERROR(VLOOKUP(C23,PRODUCTS_NORM!$A:$H,8,FALSE),"")</f>
        <v/>
      </c>
      <c r="G23">
        <f>IFERROR(VLOOKUP(F23,VM_NORM!$A:$C,3,FALSE),"")</f>
        <v/>
      </c>
      <c r="H23">
        <f>IFERROR(VLOOKUP(G23,REF_VMBySerial!$A:$B,2,FALSE),"")</f>
        <v/>
      </c>
      <c r="I23">
        <f>VALUE(SRC_Sales!C23)</f>
        <v/>
      </c>
      <c r="J23">
        <f>VALUE(SRC_Sales!D23)</f>
        <v/>
      </c>
      <c r="K23">
        <f>SRC_Sales!E23</f>
        <v/>
      </c>
      <c r="L23">
        <f>IFERROR(VLOOKUP(K23,MAP_Payment!$A:$B,2,FALSE),K23)</f>
        <v/>
      </c>
      <c r="M23">
        <f>IFERROR(VLOOKUP(L23,REF_SalePayment!$A:$B,2,FALSE),"")</f>
        <v/>
      </c>
    </row>
    <row r="24">
      <c r="A24">
        <f>SRC_Sales!A24</f>
        <v/>
      </c>
      <c r="B24" s="6">
        <f>DATEVALUE(LEFT(A24,10))+TIMEVALUE(MID(A24,12,8))</f>
        <v/>
      </c>
      <c r="C24">
        <f>SRC_Sales!B24</f>
        <v/>
      </c>
      <c r="D24">
        <f>IFERROR(VLOOKUP(C24,PRODUCTS_NORM!$A:$B,2,FALSE),"")</f>
        <v/>
      </c>
      <c r="E24">
        <f>IFERROR(VLOOKUP(D24,REF_ProductByName!$A:$B,2,FALSE),"")</f>
        <v/>
      </c>
      <c r="F24">
        <f>IFERROR(VLOOKUP(C24,PRODUCTS_NORM!$A:$H,8,FALSE),"")</f>
        <v/>
      </c>
      <c r="G24">
        <f>IFERROR(VLOOKUP(F24,VM_NORM!$A:$C,3,FALSE),"")</f>
        <v/>
      </c>
      <c r="H24">
        <f>IFERROR(VLOOKUP(G24,REF_VMBySerial!$A:$B,2,FALSE),"")</f>
        <v/>
      </c>
      <c r="I24">
        <f>VALUE(SRC_Sales!C24)</f>
        <v/>
      </c>
      <c r="J24">
        <f>VALUE(SRC_Sales!D24)</f>
        <v/>
      </c>
      <c r="K24">
        <f>SRC_Sales!E24</f>
        <v/>
      </c>
      <c r="L24">
        <f>IFERROR(VLOOKUP(K24,MAP_Payment!$A:$B,2,FALSE),K24)</f>
        <v/>
      </c>
      <c r="M24">
        <f>IFERROR(VLOOKUP(L24,REF_SalePayment!$A:$B,2,FALSE),"")</f>
        <v/>
      </c>
    </row>
    <row r="25">
      <c r="A25">
        <f>SRC_Sales!A25</f>
        <v/>
      </c>
      <c r="B25" s="6">
        <f>DATEVALUE(LEFT(A25,10))+TIMEVALUE(MID(A25,12,8))</f>
        <v/>
      </c>
      <c r="C25">
        <f>SRC_Sales!B25</f>
        <v/>
      </c>
      <c r="D25">
        <f>IFERROR(VLOOKUP(C25,PRODUCTS_NORM!$A:$B,2,FALSE),"")</f>
        <v/>
      </c>
      <c r="E25">
        <f>IFERROR(VLOOKUP(D25,REF_ProductByName!$A:$B,2,FALSE),"")</f>
        <v/>
      </c>
      <c r="F25">
        <f>IFERROR(VLOOKUP(C25,PRODUCTS_NORM!$A:$H,8,FALSE),"")</f>
        <v/>
      </c>
      <c r="G25">
        <f>IFERROR(VLOOKUP(F25,VM_NORM!$A:$C,3,FALSE),"")</f>
        <v/>
      </c>
      <c r="H25">
        <f>IFERROR(VLOOKUP(G25,REF_VMBySerial!$A:$B,2,FALSE),"")</f>
        <v/>
      </c>
      <c r="I25">
        <f>VALUE(SRC_Sales!C25)</f>
        <v/>
      </c>
      <c r="J25">
        <f>VALUE(SRC_Sales!D25)</f>
        <v/>
      </c>
      <c r="K25">
        <f>SRC_Sales!E25</f>
        <v/>
      </c>
      <c r="L25">
        <f>IFERROR(VLOOKUP(K25,MAP_Payment!$A:$B,2,FALSE),K25)</f>
        <v/>
      </c>
      <c r="M25">
        <f>IFERROR(VLOOKUP(L25,REF_SalePayment!$A:$B,2,FALSE),"")</f>
        <v/>
      </c>
    </row>
    <row r="26">
      <c r="A26">
        <f>SRC_Sales!A26</f>
        <v/>
      </c>
      <c r="B26" s="6">
        <f>DATEVALUE(LEFT(A26,10))+TIMEVALUE(MID(A26,12,8))</f>
        <v/>
      </c>
      <c r="C26">
        <f>SRC_Sales!B26</f>
        <v/>
      </c>
      <c r="D26">
        <f>IFERROR(VLOOKUP(C26,PRODUCTS_NORM!$A:$B,2,FALSE),"")</f>
        <v/>
      </c>
      <c r="E26">
        <f>IFERROR(VLOOKUP(D26,REF_ProductByName!$A:$B,2,FALSE),"")</f>
        <v/>
      </c>
      <c r="F26">
        <f>IFERROR(VLOOKUP(C26,PRODUCTS_NORM!$A:$H,8,FALSE),"")</f>
        <v/>
      </c>
      <c r="G26">
        <f>IFERROR(VLOOKUP(F26,VM_NORM!$A:$C,3,FALSE),"")</f>
        <v/>
      </c>
      <c r="H26">
        <f>IFERROR(VLOOKUP(G26,REF_VMBySerial!$A:$B,2,FALSE),"")</f>
        <v/>
      </c>
      <c r="I26">
        <f>VALUE(SRC_Sales!C26)</f>
        <v/>
      </c>
      <c r="J26">
        <f>VALUE(SRC_Sales!D26)</f>
        <v/>
      </c>
      <c r="K26">
        <f>SRC_Sales!E26</f>
        <v/>
      </c>
      <c r="L26">
        <f>IFERROR(VLOOKUP(K26,MAP_Payment!$A:$B,2,FALSE),K26)</f>
        <v/>
      </c>
      <c r="M26">
        <f>IFERROR(VLOOKUP(L26,REF_SalePayment!$A:$B,2,FALSE),"")</f>
        <v/>
      </c>
    </row>
    <row r="27">
      <c r="A27">
        <f>SRC_Sales!A27</f>
        <v/>
      </c>
      <c r="B27" s="6">
        <f>DATEVALUE(LEFT(A27,10))+TIMEVALUE(MID(A27,12,8))</f>
        <v/>
      </c>
      <c r="C27">
        <f>SRC_Sales!B27</f>
        <v/>
      </c>
      <c r="D27">
        <f>IFERROR(VLOOKUP(C27,PRODUCTS_NORM!$A:$B,2,FALSE),"")</f>
        <v/>
      </c>
      <c r="E27">
        <f>IFERROR(VLOOKUP(D27,REF_ProductByName!$A:$B,2,FALSE),"")</f>
        <v/>
      </c>
      <c r="F27">
        <f>IFERROR(VLOOKUP(C27,PRODUCTS_NORM!$A:$H,8,FALSE),"")</f>
        <v/>
      </c>
      <c r="G27">
        <f>IFERROR(VLOOKUP(F27,VM_NORM!$A:$C,3,FALSE),"")</f>
        <v/>
      </c>
      <c r="H27">
        <f>IFERROR(VLOOKUP(G27,REF_VMBySerial!$A:$B,2,FALSE),"")</f>
        <v/>
      </c>
      <c r="I27">
        <f>VALUE(SRC_Sales!C27)</f>
        <v/>
      </c>
      <c r="J27">
        <f>VALUE(SRC_Sales!D27)</f>
        <v/>
      </c>
      <c r="K27">
        <f>SRC_Sales!E27</f>
        <v/>
      </c>
      <c r="L27">
        <f>IFERROR(VLOOKUP(K27,MAP_Payment!$A:$B,2,FALSE),K27)</f>
        <v/>
      </c>
      <c r="M27">
        <f>IFERROR(VLOOKUP(L27,REF_SalePayment!$A:$B,2,FALSE),"")</f>
        <v/>
      </c>
    </row>
    <row r="28">
      <c r="A28">
        <f>SRC_Sales!A28</f>
        <v/>
      </c>
      <c r="B28" s="6">
        <f>DATEVALUE(LEFT(A28,10))+TIMEVALUE(MID(A28,12,8))</f>
        <v/>
      </c>
      <c r="C28">
        <f>SRC_Sales!B28</f>
        <v/>
      </c>
      <c r="D28">
        <f>IFERROR(VLOOKUP(C28,PRODUCTS_NORM!$A:$B,2,FALSE),"")</f>
        <v/>
      </c>
      <c r="E28">
        <f>IFERROR(VLOOKUP(D28,REF_ProductByName!$A:$B,2,FALSE),"")</f>
        <v/>
      </c>
      <c r="F28">
        <f>IFERROR(VLOOKUP(C28,PRODUCTS_NORM!$A:$H,8,FALSE),"")</f>
        <v/>
      </c>
      <c r="G28">
        <f>IFERROR(VLOOKUP(F28,VM_NORM!$A:$C,3,FALSE),"")</f>
        <v/>
      </c>
      <c r="H28">
        <f>IFERROR(VLOOKUP(G28,REF_VMBySerial!$A:$B,2,FALSE),"")</f>
        <v/>
      </c>
      <c r="I28">
        <f>VALUE(SRC_Sales!C28)</f>
        <v/>
      </c>
      <c r="J28">
        <f>VALUE(SRC_Sales!D28)</f>
        <v/>
      </c>
      <c r="K28">
        <f>SRC_Sales!E28</f>
        <v/>
      </c>
      <c r="L28">
        <f>IFERROR(VLOOKUP(K28,MAP_Payment!$A:$B,2,FALSE),K28)</f>
        <v/>
      </c>
      <c r="M28">
        <f>IFERROR(VLOOKUP(L28,REF_SalePayment!$A:$B,2,FALSE),"")</f>
        <v/>
      </c>
    </row>
    <row r="29">
      <c r="A29">
        <f>SRC_Sales!A29</f>
        <v/>
      </c>
      <c r="B29" s="6">
        <f>DATEVALUE(LEFT(A29,10))+TIMEVALUE(MID(A29,12,8))</f>
        <v/>
      </c>
      <c r="C29">
        <f>SRC_Sales!B29</f>
        <v/>
      </c>
      <c r="D29">
        <f>IFERROR(VLOOKUP(C29,PRODUCTS_NORM!$A:$B,2,FALSE),"")</f>
        <v/>
      </c>
      <c r="E29">
        <f>IFERROR(VLOOKUP(D29,REF_ProductByName!$A:$B,2,FALSE),"")</f>
        <v/>
      </c>
      <c r="F29">
        <f>IFERROR(VLOOKUP(C29,PRODUCTS_NORM!$A:$H,8,FALSE),"")</f>
        <v/>
      </c>
      <c r="G29">
        <f>IFERROR(VLOOKUP(F29,VM_NORM!$A:$C,3,FALSE),"")</f>
        <v/>
      </c>
      <c r="H29">
        <f>IFERROR(VLOOKUP(G29,REF_VMBySerial!$A:$B,2,FALSE),"")</f>
        <v/>
      </c>
      <c r="I29">
        <f>VALUE(SRC_Sales!C29)</f>
        <v/>
      </c>
      <c r="J29">
        <f>VALUE(SRC_Sales!D29)</f>
        <v/>
      </c>
      <c r="K29">
        <f>SRC_Sales!E29</f>
        <v/>
      </c>
      <c r="L29">
        <f>IFERROR(VLOOKUP(K29,MAP_Payment!$A:$B,2,FALSE),K29)</f>
        <v/>
      </c>
      <c r="M29">
        <f>IFERROR(VLOOKUP(L29,REF_SalePayment!$A:$B,2,FALSE),"")</f>
        <v/>
      </c>
    </row>
    <row r="30">
      <c r="A30">
        <f>SRC_Sales!A30</f>
        <v/>
      </c>
      <c r="B30" s="6">
        <f>DATEVALUE(LEFT(A30,10))+TIMEVALUE(MID(A30,12,8))</f>
        <v/>
      </c>
      <c r="C30">
        <f>SRC_Sales!B30</f>
        <v/>
      </c>
      <c r="D30">
        <f>IFERROR(VLOOKUP(C30,PRODUCTS_NORM!$A:$B,2,FALSE),"")</f>
        <v/>
      </c>
      <c r="E30">
        <f>IFERROR(VLOOKUP(D30,REF_ProductByName!$A:$B,2,FALSE),"")</f>
        <v/>
      </c>
      <c r="F30">
        <f>IFERROR(VLOOKUP(C30,PRODUCTS_NORM!$A:$H,8,FALSE),"")</f>
        <v/>
      </c>
      <c r="G30">
        <f>IFERROR(VLOOKUP(F30,VM_NORM!$A:$C,3,FALSE),"")</f>
        <v/>
      </c>
      <c r="H30">
        <f>IFERROR(VLOOKUP(G30,REF_VMBySerial!$A:$B,2,FALSE),"")</f>
        <v/>
      </c>
      <c r="I30">
        <f>VALUE(SRC_Sales!C30)</f>
        <v/>
      </c>
      <c r="J30">
        <f>VALUE(SRC_Sales!D30)</f>
        <v/>
      </c>
      <c r="K30">
        <f>SRC_Sales!E30</f>
        <v/>
      </c>
      <c r="L30">
        <f>IFERROR(VLOOKUP(K30,MAP_Payment!$A:$B,2,FALSE),K30)</f>
        <v/>
      </c>
      <c r="M30">
        <f>IFERROR(VLOOKUP(L30,REF_SalePayment!$A:$B,2,FALSE),"")</f>
        <v/>
      </c>
    </row>
    <row r="31">
      <c r="A31">
        <f>SRC_Sales!A31</f>
        <v/>
      </c>
      <c r="B31" s="6">
        <f>DATEVALUE(LEFT(A31,10))+TIMEVALUE(MID(A31,12,8))</f>
        <v/>
      </c>
      <c r="C31">
        <f>SRC_Sales!B31</f>
        <v/>
      </c>
      <c r="D31">
        <f>IFERROR(VLOOKUP(C31,PRODUCTS_NORM!$A:$B,2,FALSE),"")</f>
        <v/>
      </c>
      <c r="E31">
        <f>IFERROR(VLOOKUP(D31,REF_ProductByName!$A:$B,2,FALSE),"")</f>
        <v/>
      </c>
      <c r="F31">
        <f>IFERROR(VLOOKUP(C31,PRODUCTS_NORM!$A:$H,8,FALSE),"")</f>
        <v/>
      </c>
      <c r="G31">
        <f>IFERROR(VLOOKUP(F31,VM_NORM!$A:$C,3,FALSE),"")</f>
        <v/>
      </c>
      <c r="H31">
        <f>IFERROR(VLOOKUP(G31,REF_VMBySerial!$A:$B,2,FALSE),"")</f>
        <v/>
      </c>
      <c r="I31">
        <f>VALUE(SRC_Sales!C31)</f>
        <v/>
      </c>
      <c r="J31">
        <f>VALUE(SRC_Sales!D31)</f>
        <v/>
      </c>
      <c r="K31">
        <f>SRC_Sales!E31</f>
        <v/>
      </c>
      <c r="L31">
        <f>IFERROR(VLOOKUP(K31,MAP_Payment!$A:$B,2,FALSE),K31)</f>
        <v/>
      </c>
      <c r="M31">
        <f>IFERROR(VLOOKUP(L31,REF_SalePayment!$A:$B,2,FALSE),"")</f>
        <v/>
      </c>
    </row>
    <row r="32">
      <c r="A32">
        <f>SRC_Sales!A32</f>
        <v/>
      </c>
      <c r="B32" s="6">
        <f>DATEVALUE(LEFT(A32,10))+TIMEVALUE(MID(A32,12,8))</f>
        <v/>
      </c>
      <c r="C32">
        <f>SRC_Sales!B32</f>
        <v/>
      </c>
      <c r="D32">
        <f>IFERROR(VLOOKUP(C32,PRODUCTS_NORM!$A:$B,2,FALSE),"")</f>
        <v/>
      </c>
      <c r="E32">
        <f>IFERROR(VLOOKUP(D32,REF_ProductByName!$A:$B,2,FALSE),"")</f>
        <v/>
      </c>
      <c r="F32">
        <f>IFERROR(VLOOKUP(C32,PRODUCTS_NORM!$A:$H,8,FALSE),"")</f>
        <v/>
      </c>
      <c r="G32">
        <f>IFERROR(VLOOKUP(F32,VM_NORM!$A:$C,3,FALSE),"")</f>
        <v/>
      </c>
      <c r="H32">
        <f>IFERROR(VLOOKUP(G32,REF_VMBySerial!$A:$B,2,FALSE),"")</f>
        <v/>
      </c>
      <c r="I32">
        <f>VALUE(SRC_Sales!C32)</f>
        <v/>
      </c>
      <c r="J32">
        <f>VALUE(SRC_Sales!D32)</f>
        <v/>
      </c>
      <c r="K32">
        <f>SRC_Sales!E32</f>
        <v/>
      </c>
      <c r="L32">
        <f>IFERROR(VLOOKUP(K32,MAP_Payment!$A:$B,2,FALSE),K32)</f>
        <v/>
      </c>
      <c r="M32">
        <f>IFERROR(VLOOKUP(L32,REF_SalePayment!$A:$B,2,FALSE),"")</f>
        <v/>
      </c>
    </row>
    <row r="33">
      <c r="A33">
        <f>SRC_Sales!A33</f>
        <v/>
      </c>
      <c r="B33" s="6">
        <f>DATEVALUE(LEFT(A33,10))+TIMEVALUE(MID(A33,12,8))</f>
        <v/>
      </c>
      <c r="C33">
        <f>SRC_Sales!B33</f>
        <v/>
      </c>
      <c r="D33">
        <f>IFERROR(VLOOKUP(C33,PRODUCTS_NORM!$A:$B,2,FALSE),"")</f>
        <v/>
      </c>
      <c r="E33">
        <f>IFERROR(VLOOKUP(D33,REF_ProductByName!$A:$B,2,FALSE),"")</f>
        <v/>
      </c>
      <c r="F33">
        <f>IFERROR(VLOOKUP(C33,PRODUCTS_NORM!$A:$H,8,FALSE),"")</f>
        <v/>
      </c>
      <c r="G33">
        <f>IFERROR(VLOOKUP(F33,VM_NORM!$A:$C,3,FALSE),"")</f>
        <v/>
      </c>
      <c r="H33">
        <f>IFERROR(VLOOKUP(G33,REF_VMBySerial!$A:$B,2,FALSE),"")</f>
        <v/>
      </c>
      <c r="I33">
        <f>VALUE(SRC_Sales!C33)</f>
        <v/>
      </c>
      <c r="J33">
        <f>VALUE(SRC_Sales!D33)</f>
        <v/>
      </c>
      <c r="K33">
        <f>SRC_Sales!E33</f>
        <v/>
      </c>
      <c r="L33">
        <f>IFERROR(VLOOKUP(K33,MAP_Payment!$A:$B,2,FALSE),K33)</f>
        <v/>
      </c>
      <c r="M33">
        <f>IFERROR(VLOOKUP(L33,REF_SalePayment!$A:$B,2,FALSE),"")</f>
        <v/>
      </c>
    </row>
    <row r="34">
      <c r="A34">
        <f>SRC_Sales!A34</f>
        <v/>
      </c>
      <c r="B34" s="6">
        <f>DATEVALUE(LEFT(A34,10))+TIMEVALUE(MID(A34,12,8))</f>
        <v/>
      </c>
      <c r="C34">
        <f>SRC_Sales!B34</f>
        <v/>
      </c>
      <c r="D34">
        <f>IFERROR(VLOOKUP(C34,PRODUCTS_NORM!$A:$B,2,FALSE),"")</f>
        <v/>
      </c>
      <c r="E34">
        <f>IFERROR(VLOOKUP(D34,REF_ProductByName!$A:$B,2,FALSE),"")</f>
        <v/>
      </c>
      <c r="F34">
        <f>IFERROR(VLOOKUP(C34,PRODUCTS_NORM!$A:$H,8,FALSE),"")</f>
        <v/>
      </c>
      <c r="G34">
        <f>IFERROR(VLOOKUP(F34,VM_NORM!$A:$C,3,FALSE),"")</f>
        <v/>
      </c>
      <c r="H34">
        <f>IFERROR(VLOOKUP(G34,REF_VMBySerial!$A:$B,2,FALSE),"")</f>
        <v/>
      </c>
      <c r="I34">
        <f>VALUE(SRC_Sales!C34)</f>
        <v/>
      </c>
      <c r="J34">
        <f>VALUE(SRC_Sales!D34)</f>
        <v/>
      </c>
      <c r="K34">
        <f>SRC_Sales!E34</f>
        <v/>
      </c>
      <c r="L34">
        <f>IFERROR(VLOOKUP(K34,MAP_Payment!$A:$B,2,FALSE),K34)</f>
        <v/>
      </c>
      <c r="M34">
        <f>IFERROR(VLOOKUP(L34,REF_SalePayment!$A:$B,2,FALSE),"")</f>
        <v/>
      </c>
    </row>
    <row r="35">
      <c r="A35">
        <f>SRC_Sales!A35</f>
        <v/>
      </c>
      <c r="B35" s="6">
        <f>DATEVALUE(LEFT(A35,10))+TIMEVALUE(MID(A35,12,8))</f>
        <v/>
      </c>
      <c r="C35">
        <f>SRC_Sales!B35</f>
        <v/>
      </c>
      <c r="D35">
        <f>IFERROR(VLOOKUP(C35,PRODUCTS_NORM!$A:$B,2,FALSE),"")</f>
        <v/>
      </c>
      <c r="E35">
        <f>IFERROR(VLOOKUP(D35,REF_ProductByName!$A:$B,2,FALSE),"")</f>
        <v/>
      </c>
      <c r="F35">
        <f>IFERROR(VLOOKUP(C35,PRODUCTS_NORM!$A:$H,8,FALSE),"")</f>
        <v/>
      </c>
      <c r="G35">
        <f>IFERROR(VLOOKUP(F35,VM_NORM!$A:$C,3,FALSE),"")</f>
        <v/>
      </c>
      <c r="H35">
        <f>IFERROR(VLOOKUP(G35,REF_VMBySerial!$A:$B,2,FALSE),"")</f>
        <v/>
      </c>
      <c r="I35">
        <f>VALUE(SRC_Sales!C35)</f>
        <v/>
      </c>
      <c r="J35">
        <f>VALUE(SRC_Sales!D35)</f>
        <v/>
      </c>
      <c r="K35">
        <f>SRC_Sales!E35</f>
        <v/>
      </c>
      <c r="L35">
        <f>IFERROR(VLOOKUP(K35,MAP_Payment!$A:$B,2,FALSE),K35)</f>
        <v/>
      </c>
      <c r="M35">
        <f>IFERROR(VLOOKUP(L35,REF_SalePayment!$A:$B,2,FALSE),"")</f>
        <v/>
      </c>
    </row>
    <row r="36">
      <c r="A36">
        <f>SRC_Sales!A36</f>
        <v/>
      </c>
      <c r="B36" s="6">
        <f>DATEVALUE(LEFT(A36,10))+TIMEVALUE(MID(A36,12,8))</f>
        <v/>
      </c>
      <c r="C36">
        <f>SRC_Sales!B36</f>
        <v/>
      </c>
      <c r="D36">
        <f>IFERROR(VLOOKUP(C36,PRODUCTS_NORM!$A:$B,2,FALSE),"")</f>
        <v/>
      </c>
      <c r="E36">
        <f>IFERROR(VLOOKUP(D36,REF_ProductByName!$A:$B,2,FALSE),"")</f>
        <v/>
      </c>
      <c r="F36">
        <f>IFERROR(VLOOKUP(C36,PRODUCTS_NORM!$A:$H,8,FALSE),"")</f>
        <v/>
      </c>
      <c r="G36">
        <f>IFERROR(VLOOKUP(F36,VM_NORM!$A:$C,3,FALSE),"")</f>
        <v/>
      </c>
      <c r="H36">
        <f>IFERROR(VLOOKUP(G36,REF_VMBySerial!$A:$B,2,FALSE),"")</f>
        <v/>
      </c>
      <c r="I36">
        <f>VALUE(SRC_Sales!C36)</f>
        <v/>
      </c>
      <c r="J36">
        <f>VALUE(SRC_Sales!D36)</f>
        <v/>
      </c>
      <c r="K36">
        <f>SRC_Sales!E36</f>
        <v/>
      </c>
      <c r="L36">
        <f>IFERROR(VLOOKUP(K36,MAP_Payment!$A:$B,2,FALSE),K36)</f>
        <v/>
      </c>
      <c r="M36">
        <f>IFERROR(VLOOKUP(L36,REF_SalePayment!$A:$B,2,FALSE),"")</f>
        <v/>
      </c>
    </row>
    <row r="37">
      <c r="A37">
        <f>SRC_Sales!A37</f>
        <v/>
      </c>
      <c r="B37" s="6">
        <f>DATEVALUE(LEFT(A37,10))+TIMEVALUE(MID(A37,12,8))</f>
        <v/>
      </c>
      <c r="C37">
        <f>SRC_Sales!B37</f>
        <v/>
      </c>
      <c r="D37">
        <f>IFERROR(VLOOKUP(C37,PRODUCTS_NORM!$A:$B,2,FALSE),"")</f>
        <v/>
      </c>
      <c r="E37">
        <f>IFERROR(VLOOKUP(D37,REF_ProductByName!$A:$B,2,FALSE),"")</f>
        <v/>
      </c>
      <c r="F37">
        <f>IFERROR(VLOOKUP(C37,PRODUCTS_NORM!$A:$H,8,FALSE),"")</f>
        <v/>
      </c>
      <c r="G37">
        <f>IFERROR(VLOOKUP(F37,VM_NORM!$A:$C,3,FALSE),"")</f>
        <v/>
      </c>
      <c r="H37">
        <f>IFERROR(VLOOKUP(G37,REF_VMBySerial!$A:$B,2,FALSE),"")</f>
        <v/>
      </c>
      <c r="I37">
        <f>VALUE(SRC_Sales!C37)</f>
        <v/>
      </c>
      <c r="J37">
        <f>VALUE(SRC_Sales!D37)</f>
        <v/>
      </c>
      <c r="K37">
        <f>SRC_Sales!E37</f>
        <v/>
      </c>
      <c r="L37">
        <f>IFERROR(VLOOKUP(K37,MAP_Payment!$A:$B,2,FALSE),K37)</f>
        <v/>
      </c>
      <c r="M37">
        <f>IFERROR(VLOOKUP(L37,REF_SalePayment!$A:$B,2,FALSE),"")</f>
        <v/>
      </c>
    </row>
    <row r="38">
      <c r="A38">
        <f>SRC_Sales!A38</f>
        <v/>
      </c>
      <c r="B38" s="6">
        <f>DATEVALUE(LEFT(A38,10))+TIMEVALUE(MID(A38,12,8))</f>
        <v/>
      </c>
      <c r="C38">
        <f>SRC_Sales!B38</f>
        <v/>
      </c>
      <c r="D38">
        <f>IFERROR(VLOOKUP(C38,PRODUCTS_NORM!$A:$B,2,FALSE),"")</f>
        <v/>
      </c>
      <c r="E38">
        <f>IFERROR(VLOOKUP(D38,REF_ProductByName!$A:$B,2,FALSE),"")</f>
        <v/>
      </c>
      <c r="F38">
        <f>IFERROR(VLOOKUP(C38,PRODUCTS_NORM!$A:$H,8,FALSE),"")</f>
        <v/>
      </c>
      <c r="G38">
        <f>IFERROR(VLOOKUP(F38,VM_NORM!$A:$C,3,FALSE),"")</f>
        <v/>
      </c>
      <c r="H38">
        <f>IFERROR(VLOOKUP(G38,REF_VMBySerial!$A:$B,2,FALSE),"")</f>
        <v/>
      </c>
      <c r="I38">
        <f>VALUE(SRC_Sales!C38)</f>
        <v/>
      </c>
      <c r="J38">
        <f>VALUE(SRC_Sales!D38)</f>
        <v/>
      </c>
      <c r="K38">
        <f>SRC_Sales!E38</f>
        <v/>
      </c>
      <c r="L38">
        <f>IFERROR(VLOOKUP(K38,MAP_Payment!$A:$B,2,FALSE),K38)</f>
        <v/>
      </c>
      <c r="M38">
        <f>IFERROR(VLOOKUP(L38,REF_SalePayment!$A:$B,2,FALSE),"")</f>
        <v/>
      </c>
    </row>
    <row r="39">
      <c r="A39">
        <f>SRC_Sales!A39</f>
        <v/>
      </c>
      <c r="B39" s="6">
        <f>DATEVALUE(LEFT(A39,10))+TIMEVALUE(MID(A39,12,8))</f>
        <v/>
      </c>
      <c r="C39">
        <f>SRC_Sales!B39</f>
        <v/>
      </c>
      <c r="D39">
        <f>IFERROR(VLOOKUP(C39,PRODUCTS_NORM!$A:$B,2,FALSE),"")</f>
        <v/>
      </c>
      <c r="E39">
        <f>IFERROR(VLOOKUP(D39,REF_ProductByName!$A:$B,2,FALSE),"")</f>
        <v/>
      </c>
      <c r="F39">
        <f>IFERROR(VLOOKUP(C39,PRODUCTS_NORM!$A:$H,8,FALSE),"")</f>
        <v/>
      </c>
      <c r="G39">
        <f>IFERROR(VLOOKUP(F39,VM_NORM!$A:$C,3,FALSE),"")</f>
        <v/>
      </c>
      <c r="H39">
        <f>IFERROR(VLOOKUP(G39,REF_VMBySerial!$A:$B,2,FALSE),"")</f>
        <v/>
      </c>
      <c r="I39">
        <f>VALUE(SRC_Sales!C39)</f>
        <v/>
      </c>
      <c r="J39">
        <f>VALUE(SRC_Sales!D39)</f>
        <v/>
      </c>
      <c r="K39">
        <f>SRC_Sales!E39</f>
        <v/>
      </c>
      <c r="L39">
        <f>IFERROR(VLOOKUP(K39,MAP_Payment!$A:$B,2,FALSE),K39)</f>
        <v/>
      </c>
      <c r="M39">
        <f>IFERROR(VLOOKUP(L39,REF_SalePayment!$A:$B,2,FALSE),"")</f>
        <v/>
      </c>
    </row>
    <row r="40">
      <c r="A40">
        <f>SRC_Sales!A40</f>
        <v/>
      </c>
      <c r="B40" s="6">
        <f>DATEVALUE(LEFT(A40,10))+TIMEVALUE(MID(A40,12,8))</f>
        <v/>
      </c>
      <c r="C40">
        <f>SRC_Sales!B40</f>
        <v/>
      </c>
      <c r="D40">
        <f>IFERROR(VLOOKUP(C40,PRODUCTS_NORM!$A:$B,2,FALSE),"")</f>
        <v/>
      </c>
      <c r="E40">
        <f>IFERROR(VLOOKUP(D40,REF_ProductByName!$A:$B,2,FALSE),"")</f>
        <v/>
      </c>
      <c r="F40">
        <f>IFERROR(VLOOKUP(C40,PRODUCTS_NORM!$A:$H,8,FALSE),"")</f>
        <v/>
      </c>
      <c r="G40">
        <f>IFERROR(VLOOKUP(F40,VM_NORM!$A:$C,3,FALSE),"")</f>
        <v/>
      </c>
      <c r="H40">
        <f>IFERROR(VLOOKUP(G40,REF_VMBySerial!$A:$B,2,FALSE),"")</f>
        <v/>
      </c>
      <c r="I40">
        <f>VALUE(SRC_Sales!C40)</f>
        <v/>
      </c>
      <c r="J40">
        <f>VALUE(SRC_Sales!D40)</f>
        <v/>
      </c>
      <c r="K40">
        <f>SRC_Sales!E40</f>
        <v/>
      </c>
      <c r="L40">
        <f>IFERROR(VLOOKUP(K40,MAP_Payment!$A:$B,2,FALSE),K40)</f>
        <v/>
      </c>
      <c r="M40">
        <f>IFERROR(VLOOKUP(L40,REF_SalePayment!$A:$B,2,FALSE),"")</f>
        <v/>
      </c>
    </row>
    <row r="41">
      <c r="A41">
        <f>SRC_Sales!A41</f>
        <v/>
      </c>
      <c r="B41" s="6">
        <f>DATEVALUE(LEFT(A41,10))+TIMEVALUE(MID(A41,12,8))</f>
        <v/>
      </c>
      <c r="C41">
        <f>SRC_Sales!B41</f>
        <v/>
      </c>
      <c r="D41">
        <f>IFERROR(VLOOKUP(C41,PRODUCTS_NORM!$A:$B,2,FALSE),"")</f>
        <v/>
      </c>
      <c r="E41">
        <f>IFERROR(VLOOKUP(D41,REF_ProductByName!$A:$B,2,FALSE),"")</f>
        <v/>
      </c>
      <c r="F41">
        <f>IFERROR(VLOOKUP(C41,PRODUCTS_NORM!$A:$H,8,FALSE),"")</f>
        <v/>
      </c>
      <c r="G41">
        <f>IFERROR(VLOOKUP(F41,VM_NORM!$A:$C,3,FALSE),"")</f>
        <v/>
      </c>
      <c r="H41">
        <f>IFERROR(VLOOKUP(G41,REF_VMBySerial!$A:$B,2,FALSE),"")</f>
        <v/>
      </c>
      <c r="I41">
        <f>VALUE(SRC_Sales!C41)</f>
        <v/>
      </c>
      <c r="J41">
        <f>VALUE(SRC_Sales!D41)</f>
        <v/>
      </c>
      <c r="K41">
        <f>SRC_Sales!E41</f>
        <v/>
      </c>
      <c r="L41">
        <f>IFERROR(VLOOKUP(K41,MAP_Payment!$A:$B,2,FALSE),K41)</f>
        <v/>
      </c>
      <c r="M41">
        <f>IFERROR(VLOOKUP(L41,REF_SalePayment!$A:$B,2,FALSE),"")</f>
        <v/>
      </c>
    </row>
    <row r="42">
      <c r="A42">
        <f>SRC_Sales!A42</f>
        <v/>
      </c>
      <c r="B42" s="6">
        <f>DATEVALUE(LEFT(A42,10))+TIMEVALUE(MID(A42,12,8))</f>
        <v/>
      </c>
      <c r="C42">
        <f>SRC_Sales!B42</f>
        <v/>
      </c>
      <c r="D42">
        <f>IFERROR(VLOOKUP(C42,PRODUCTS_NORM!$A:$B,2,FALSE),"")</f>
        <v/>
      </c>
      <c r="E42">
        <f>IFERROR(VLOOKUP(D42,REF_ProductByName!$A:$B,2,FALSE),"")</f>
        <v/>
      </c>
      <c r="F42">
        <f>IFERROR(VLOOKUP(C42,PRODUCTS_NORM!$A:$H,8,FALSE),"")</f>
        <v/>
      </c>
      <c r="G42">
        <f>IFERROR(VLOOKUP(F42,VM_NORM!$A:$C,3,FALSE),"")</f>
        <v/>
      </c>
      <c r="H42">
        <f>IFERROR(VLOOKUP(G42,REF_VMBySerial!$A:$B,2,FALSE),"")</f>
        <v/>
      </c>
      <c r="I42">
        <f>VALUE(SRC_Sales!C42)</f>
        <v/>
      </c>
      <c r="J42">
        <f>VALUE(SRC_Sales!D42)</f>
        <v/>
      </c>
      <c r="K42">
        <f>SRC_Sales!E42</f>
        <v/>
      </c>
      <c r="L42">
        <f>IFERROR(VLOOKUP(K42,MAP_Payment!$A:$B,2,FALSE),K42)</f>
        <v/>
      </c>
      <c r="M42">
        <f>IFERROR(VLOOKUP(L42,REF_SalePayment!$A:$B,2,FALSE),"")</f>
        <v/>
      </c>
    </row>
    <row r="43">
      <c r="A43">
        <f>SRC_Sales!A43</f>
        <v/>
      </c>
      <c r="B43" s="6">
        <f>DATEVALUE(LEFT(A43,10))+TIMEVALUE(MID(A43,12,8))</f>
        <v/>
      </c>
      <c r="C43">
        <f>SRC_Sales!B43</f>
        <v/>
      </c>
      <c r="D43">
        <f>IFERROR(VLOOKUP(C43,PRODUCTS_NORM!$A:$B,2,FALSE),"")</f>
        <v/>
      </c>
      <c r="E43">
        <f>IFERROR(VLOOKUP(D43,REF_ProductByName!$A:$B,2,FALSE),"")</f>
        <v/>
      </c>
      <c r="F43">
        <f>IFERROR(VLOOKUP(C43,PRODUCTS_NORM!$A:$H,8,FALSE),"")</f>
        <v/>
      </c>
      <c r="G43">
        <f>IFERROR(VLOOKUP(F43,VM_NORM!$A:$C,3,FALSE),"")</f>
        <v/>
      </c>
      <c r="H43">
        <f>IFERROR(VLOOKUP(G43,REF_VMBySerial!$A:$B,2,FALSE),"")</f>
        <v/>
      </c>
      <c r="I43">
        <f>VALUE(SRC_Sales!C43)</f>
        <v/>
      </c>
      <c r="J43">
        <f>VALUE(SRC_Sales!D43)</f>
        <v/>
      </c>
      <c r="K43">
        <f>SRC_Sales!E43</f>
        <v/>
      </c>
      <c r="L43">
        <f>IFERROR(VLOOKUP(K43,MAP_Payment!$A:$B,2,FALSE),K43)</f>
        <v/>
      </c>
      <c r="M43">
        <f>IFERROR(VLOOKUP(L43,REF_SalePayment!$A:$B,2,FALSE),"")</f>
        <v/>
      </c>
    </row>
    <row r="44">
      <c r="A44">
        <f>SRC_Sales!A44</f>
        <v/>
      </c>
      <c r="B44" s="6">
        <f>DATEVALUE(LEFT(A44,10))+TIMEVALUE(MID(A44,12,8))</f>
        <v/>
      </c>
      <c r="C44">
        <f>SRC_Sales!B44</f>
        <v/>
      </c>
      <c r="D44">
        <f>IFERROR(VLOOKUP(C44,PRODUCTS_NORM!$A:$B,2,FALSE),"")</f>
        <v/>
      </c>
      <c r="E44">
        <f>IFERROR(VLOOKUP(D44,REF_ProductByName!$A:$B,2,FALSE),"")</f>
        <v/>
      </c>
      <c r="F44">
        <f>IFERROR(VLOOKUP(C44,PRODUCTS_NORM!$A:$H,8,FALSE),"")</f>
        <v/>
      </c>
      <c r="G44">
        <f>IFERROR(VLOOKUP(F44,VM_NORM!$A:$C,3,FALSE),"")</f>
        <v/>
      </c>
      <c r="H44">
        <f>IFERROR(VLOOKUP(G44,REF_VMBySerial!$A:$B,2,FALSE),"")</f>
        <v/>
      </c>
      <c r="I44">
        <f>VALUE(SRC_Sales!C44)</f>
        <v/>
      </c>
      <c r="J44">
        <f>VALUE(SRC_Sales!D44)</f>
        <v/>
      </c>
      <c r="K44">
        <f>SRC_Sales!E44</f>
        <v/>
      </c>
      <c r="L44">
        <f>IFERROR(VLOOKUP(K44,MAP_Payment!$A:$B,2,FALSE),K44)</f>
        <v/>
      </c>
      <c r="M44">
        <f>IFERROR(VLOOKUP(L44,REF_SalePayment!$A:$B,2,FALSE),"")</f>
        <v/>
      </c>
    </row>
    <row r="45">
      <c r="A45">
        <f>SRC_Sales!A45</f>
        <v/>
      </c>
      <c r="B45" s="6">
        <f>DATEVALUE(LEFT(A45,10))+TIMEVALUE(MID(A45,12,8))</f>
        <v/>
      </c>
      <c r="C45">
        <f>SRC_Sales!B45</f>
        <v/>
      </c>
      <c r="D45">
        <f>IFERROR(VLOOKUP(C45,PRODUCTS_NORM!$A:$B,2,FALSE),"")</f>
        <v/>
      </c>
      <c r="E45">
        <f>IFERROR(VLOOKUP(D45,REF_ProductByName!$A:$B,2,FALSE),"")</f>
        <v/>
      </c>
      <c r="F45">
        <f>IFERROR(VLOOKUP(C45,PRODUCTS_NORM!$A:$H,8,FALSE),"")</f>
        <v/>
      </c>
      <c r="G45">
        <f>IFERROR(VLOOKUP(F45,VM_NORM!$A:$C,3,FALSE),"")</f>
        <v/>
      </c>
      <c r="H45">
        <f>IFERROR(VLOOKUP(G45,REF_VMBySerial!$A:$B,2,FALSE),"")</f>
        <v/>
      </c>
      <c r="I45">
        <f>VALUE(SRC_Sales!C45)</f>
        <v/>
      </c>
      <c r="J45">
        <f>VALUE(SRC_Sales!D45)</f>
        <v/>
      </c>
      <c r="K45">
        <f>SRC_Sales!E45</f>
        <v/>
      </c>
      <c r="L45">
        <f>IFERROR(VLOOKUP(K45,MAP_Payment!$A:$B,2,FALSE),K45)</f>
        <v/>
      </c>
      <c r="M45">
        <f>IFERROR(VLOOKUP(L45,REF_SalePayment!$A:$B,2,FALSE),"")</f>
        <v/>
      </c>
    </row>
    <row r="46">
      <c r="A46">
        <f>SRC_Sales!A46</f>
        <v/>
      </c>
      <c r="B46" s="6">
        <f>DATEVALUE(LEFT(A46,10))+TIMEVALUE(MID(A46,12,8))</f>
        <v/>
      </c>
      <c r="C46">
        <f>SRC_Sales!B46</f>
        <v/>
      </c>
      <c r="D46">
        <f>IFERROR(VLOOKUP(C46,PRODUCTS_NORM!$A:$B,2,FALSE),"")</f>
        <v/>
      </c>
      <c r="E46">
        <f>IFERROR(VLOOKUP(D46,REF_ProductByName!$A:$B,2,FALSE),"")</f>
        <v/>
      </c>
      <c r="F46">
        <f>IFERROR(VLOOKUP(C46,PRODUCTS_NORM!$A:$H,8,FALSE),"")</f>
        <v/>
      </c>
      <c r="G46">
        <f>IFERROR(VLOOKUP(F46,VM_NORM!$A:$C,3,FALSE),"")</f>
        <v/>
      </c>
      <c r="H46">
        <f>IFERROR(VLOOKUP(G46,REF_VMBySerial!$A:$B,2,FALSE),"")</f>
        <v/>
      </c>
      <c r="I46">
        <f>VALUE(SRC_Sales!C46)</f>
        <v/>
      </c>
      <c r="J46">
        <f>VALUE(SRC_Sales!D46)</f>
        <v/>
      </c>
      <c r="K46">
        <f>SRC_Sales!E46</f>
        <v/>
      </c>
      <c r="L46">
        <f>IFERROR(VLOOKUP(K46,MAP_Payment!$A:$B,2,FALSE),K46)</f>
        <v/>
      </c>
      <c r="M46">
        <f>IFERROR(VLOOKUP(L46,REF_SalePayment!$A:$B,2,FALSE),"")</f>
        <v/>
      </c>
    </row>
    <row r="47">
      <c r="A47">
        <f>SRC_Sales!A47</f>
        <v/>
      </c>
      <c r="B47" s="6">
        <f>DATEVALUE(LEFT(A47,10))+TIMEVALUE(MID(A47,12,8))</f>
        <v/>
      </c>
      <c r="C47">
        <f>SRC_Sales!B47</f>
        <v/>
      </c>
      <c r="D47">
        <f>IFERROR(VLOOKUP(C47,PRODUCTS_NORM!$A:$B,2,FALSE),"")</f>
        <v/>
      </c>
      <c r="E47">
        <f>IFERROR(VLOOKUP(D47,REF_ProductByName!$A:$B,2,FALSE),"")</f>
        <v/>
      </c>
      <c r="F47">
        <f>IFERROR(VLOOKUP(C47,PRODUCTS_NORM!$A:$H,8,FALSE),"")</f>
        <v/>
      </c>
      <c r="G47">
        <f>IFERROR(VLOOKUP(F47,VM_NORM!$A:$C,3,FALSE),"")</f>
        <v/>
      </c>
      <c r="H47">
        <f>IFERROR(VLOOKUP(G47,REF_VMBySerial!$A:$B,2,FALSE),"")</f>
        <v/>
      </c>
      <c r="I47">
        <f>VALUE(SRC_Sales!C47)</f>
        <v/>
      </c>
      <c r="J47">
        <f>VALUE(SRC_Sales!D47)</f>
        <v/>
      </c>
      <c r="K47">
        <f>SRC_Sales!E47</f>
        <v/>
      </c>
      <c r="L47">
        <f>IFERROR(VLOOKUP(K47,MAP_Payment!$A:$B,2,FALSE),K47)</f>
        <v/>
      </c>
      <c r="M47">
        <f>IFERROR(VLOOKUP(L47,REF_SalePayment!$A:$B,2,FALSE),"")</f>
        <v/>
      </c>
    </row>
    <row r="48">
      <c r="A48">
        <f>SRC_Sales!A48</f>
        <v/>
      </c>
      <c r="B48" s="6">
        <f>DATEVALUE(LEFT(A48,10))+TIMEVALUE(MID(A48,12,8))</f>
        <v/>
      </c>
      <c r="C48">
        <f>SRC_Sales!B48</f>
        <v/>
      </c>
      <c r="D48">
        <f>IFERROR(VLOOKUP(C48,PRODUCTS_NORM!$A:$B,2,FALSE),"")</f>
        <v/>
      </c>
      <c r="E48">
        <f>IFERROR(VLOOKUP(D48,REF_ProductByName!$A:$B,2,FALSE),"")</f>
        <v/>
      </c>
      <c r="F48">
        <f>IFERROR(VLOOKUP(C48,PRODUCTS_NORM!$A:$H,8,FALSE),"")</f>
        <v/>
      </c>
      <c r="G48">
        <f>IFERROR(VLOOKUP(F48,VM_NORM!$A:$C,3,FALSE),"")</f>
        <v/>
      </c>
      <c r="H48">
        <f>IFERROR(VLOOKUP(G48,REF_VMBySerial!$A:$B,2,FALSE),"")</f>
        <v/>
      </c>
      <c r="I48">
        <f>VALUE(SRC_Sales!C48)</f>
        <v/>
      </c>
      <c r="J48">
        <f>VALUE(SRC_Sales!D48)</f>
        <v/>
      </c>
      <c r="K48">
        <f>SRC_Sales!E48</f>
        <v/>
      </c>
      <c r="L48">
        <f>IFERROR(VLOOKUP(K48,MAP_Payment!$A:$B,2,FALSE),K48)</f>
        <v/>
      </c>
      <c r="M48">
        <f>IFERROR(VLOOKUP(L48,REF_SalePayment!$A:$B,2,FALSE),"")</f>
        <v/>
      </c>
    </row>
    <row r="49">
      <c r="A49">
        <f>SRC_Sales!A49</f>
        <v/>
      </c>
      <c r="B49" s="6">
        <f>DATEVALUE(LEFT(A49,10))+TIMEVALUE(MID(A49,12,8))</f>
        <v/>
      </c>
      <c r="C49">
        <f>SRC_Sales!B49</f>
        <v/>
      </c>
      <c r="D49">
        <f>IFERROR(VLOOKUP(C49,PRODUCTS_NORM!$A:$B,2,FALSE),"")</f>
        <v/>
      </c>
      <c r="E49">
        <f>IFERROR(VLOOKUP(D49,REF_ProductByName!$A:$B,2,FALSE),"")</f>
        <v/>
      </c>
      <c r="F49">
        <f>IFERROR(VLOOKUP(C49,PRODUCTS_NORM!$A:$H,8,FALSE),"")</f>
        <v/>
      </c>
      <c r="G49">
        <f>IFERROR(VLOOKUP(F49,VM_NORM!$A:$C,3,FALSE),"")</f>
        <v/>
      </c>
      <c r="H49">
        <f>IFERROR(VLOOKUP(G49,REF_VMBySerial!$A:$B,2,FALSE),"")</f>
        <v/>
      </c>
      <c r="I49">
        <f>VALUE(SRC_Sales!C49)</f>
        <v/>
      </c>
      <c r="J49">
        <f>VALUE(SRC_Sales!D49)</f>
        <v/>
      </c>
      <c r="K49">
        <f>SRC_Sales!E49</f>
        <v/>
      </c>
      <c r="L49">
        <f>IFERROR(VLOOKUP(K49,MAP_Payment!$A:$B,2,FALSE),K49)</f>
        <v/>
      </c>
      <c r="M49">
        <f>IFERROR(VLOOKUP(L49,REF_SalePayment!$A:$B,2,FALSE),"")</f>
        <v/>
      </c>
    </row>
    <row r="50">
      <c r="A50">
        <f>SRC_Sales!A50</f>
        <v/>
      </c>
      <c r="B50" s="6">
        <f>DATEVALUE(LEFT(A50,10))+TIMEVALUE(MID(A50,12,8))</f>
        <v/>
      </c>
      <c r="C50">
        <f>SRC_Sales!B50</f>
        <v/>
      </c>
      <c r="D50">
        <f>IFERROR(VLOOKUP(C50,PRODUCTS_NORM!$A:$B,2,FALSE),"")</f>
        <v/>
      </c>
      <c r="E50">
        <f>IFERROR(VLOOKUP(D50,REF_ProductByName!$A:$B,2,FALSE),"")</f>
        <v/>
      </c>
      <c r="F50">
        <f>IFERROR(VLOOKUP(C50,PRODUCTS_NORM!$A:$H,8,FALSE),"")</f>
        <v/>
      </c>
      <c r="G50">
        <f>IFERROR(VLOOKUP(F50,VM_NORM!$A:$C,3,FALSE),"")</f>
        <v/>
      </c>
      <c r="H50">
        <f>IFERROR(VLOOKUP(G50,REF_VMBySerial!$A:$B,2,FALSE),"")</f>
        <v/>
      </c>
      <c r="I50">
        <f>VALUE(SRC_Sales!C50)</f>
        <v/>
      </c>
      <c r="J50">
        <f>VALUE(SRC_Sales!D50)</f>
        <v/>
      </c>
      <c r="K50">
        <f>SRC_Sales!E50</f>
        <v/>
      </c>
      <c r="L50">
        <f>IFERROR(VLOOKUP(K50,MAP_Payment!$A:$B,2,FALSE),K50)</f>
        <v/>
      </c>
      <c r="M50">
        <f>IFERROR(VLOOKUP(L50,REF_SalePayment!$A:$B,2,FALSE),"")</f>
        <v/>
      </c>
    </row>
    <row r="51">
      <c r="A51">
        <f>SRC_Sales!A51</f>
        <v/>
      </c>
      <c r="B51" s="6">
        <f>DATEVALUE(LEFT(A51,10))+TIMEVALUE(MID(A51,12,8))</f>
        <v/>
      </c>
      <c r="C51">
        <f>SRC_Sales!B51</f>
        <v/>
      </c>
      <c r="D51">
        <f>IFERROR(VLOOKUP(C51,PRODUCTS_NORM!$A:$B,2,FALSE),"")</f>
        <v/>
      </c>
      <c r="E51">
        <f>IFERROR(VLOOKUP(D51,REF_ProductByName!$A:$B,2,FALSE),"")</f>
        <v/>
      </c>
      <c r="F51">
        <f>IFERROR(VLOOKUP(C51,PRODUCTS_NORM!$A:$H,8,FALSE),"")</f>
        <v/>
      </c>
      <c r="G51">
        <f>IFERROR(VLOOKUP(F51,VM_NORM!$A:$C,3,FALSE),"")</f>
        <v/>
      </c>
      <c r="H51">
        <f>IFERROR(VLOOKUP(G51,REF_VMBySerial!$A:$B,2,FALSE),"")</f>
        <v/>
      </c>
      <c r="I51">
        <f>VALUE(SRC_Sales!C51)</f>
        <v/>
      </c>
      <c r="J51">
        <f>VALUE(SRC_Sales!D51)</f>
        <v/>
      </c>
      <c r="K51">
        <f>SRC_Sales!E51</f>
        <v/>
      </c>
      <c r="L51">
        <f>IFERROR(VLOOKUP(K51,MAP_Payment!$A:$B,2,FALSE),K51)</f>
        <v/>
      </c>
      <c r="M51">
        <f>IFERROR(VLOOKUP(L51,REF_SalePayment!$A:$B,2,FALSE),"")</f>
        <v/>
      </c>
    </row>
    <row r="52">
      <c r="A52">
        <f>SRC_Sales!A52</f>
        <v/>
      </c>
      <c r="B52" s="6">
        <f>DATEVALUE(LEFT(A52,10))+TIMEVALUE(MID(A52,12,8))</f>
        <v/>
      </c>
      <c r="C52">
        <f>SRC_Sales!B52</f>
        <v/>
      </c>
      <c r="D52">
        <f>IFERROR(VLOOKUP(C52,PRODUCTS_NORM!$A:$B,2,FALSE),"")</f>
        <v/>
      </c>
      <c r="E52">
        <f>IFERROR(VLOOKUP(D52,REF_ProductByName!$A:$B,2,FALSE),"")</f>
        <v/>
      </c>
      <c r="F52">
        <f>IFERROR(VLOOKUP(C52,PRODUCTS_NORM!$A:$H,8,FALSE),"")</f>
        <v/>
      </c>
      <c r="G52">
        <f>IFERROR(VLOOKUP(F52,VM_NORM!$A:$C,3,FALSE),"")</f>
        <v/>
      </c>
      <c r="H52">
        <f>IFERROR(VLOOKUP(G52,REF_VMBySerial!$A:$B,2,FALSE),"")</f>
        <v/>
      </c>
      <c r="I52">
        <f>VALUE(SRC_Sales!C52)</f>
        <v/>
      </c>
      <c r="J52">
        <f>VALUE(SRC_Sales!D52)</f>
        <v/>
      </c>
      <c r="K52">
        <f>SRC_Sales!E52</f>
        <v/>
      </c>
      <c r="L52">
        <f>IFERROR(VLOOKUP(K52,MAP_Payment!$A:$B,2,FALSE),K52)</f>
        <v/>
      </c>
      <c r="M52">
        <f>IFERROR(VLOOKUP(L52,REF_SalePayment!$A:$B,2,FALSE),"")</f>
        <v/>
      </c>
    </row>
    <row r="53">
      <c r="A53">
        <f>SRC_Sales!A53</f>
        <v/>
      </c>
      <c r="B53" s="6">
        <f>DATEVALUE(LEFT(A53,10))+TIMEVALUE(MID(A53,12,8))</f>
        <v/>
      </c>
      <c r="C53">
        <f>SRC_Sales!B53</f>
        <v/>
      </c>
      <c r="D53">
        <f>IFERROR(VLOOKUP(C53,PRODUCTS_NORM!$A:$B,2,FALSE),"")</f>
        <v/>
      </c>
      <c r="E53">
        <f>IFERROR(VLOOKUP(D53,REF_ProductByName!$A:$B,2,FALSE),"")</f>
        <v/>
      </c>
      <c r="F53">
        <f>IFERROR(VLOOKUP(C53,PRODUCTS_NORM!$A:$H,8,FALSE),"")</f>
        <v/>
      </c>
      <c r="G53">
        <f>IFERROR(VLOOKUP(F53,VM_NORM!$A:$C,3,FALSE),"")</f>
        <v/>
      </c>
      <c r="H53">
        <f>IFERROR(VLOOKUP(G53,REF_VMBySerial!$A:$B,2,FALSE),"")</f>
        <v/>
      </c>
      <c r="I53">
        <f>VALUE(SRC_Sales!C53)</f>
        <v/>
      </c>
      <c r="J53">
        <f>VALUE(SRC_Sales!D53)</f>
        <v/>
      </c>
      <c r="K53">
        <f>SRC_Sales!E53</f>
        <v/>
      </c>
      <c r="L53">
        <f>IFERROR(VLOOKUP(K53,MAP_Payment!$A:$B,2,FALSE),K53)</f>
        <v/>
      </c>
      <c r="M53">
        <f>IFERROR(VLOOKUP(L53,REF_SalePayment!$A:$B,2,FALSE),"")</f>
        <v/>
      </c>
    </row>
    <row r="54">
      <c r="A54">
        <f>SRC_Sales!A54</f>
        <v/>
      </c>
      <c r="B54" s="6">
        <f>DATEVALUE(LEFT(A54,10))+TIMEVALUE(MID(A54,12,8))</f>
        <v/>
      </c>
      <c r="C54">
        <f>SRC_Sales!B54</f>
        <v/>
      </c>
      <c r="D54">
        <f>IFERROR(VLOOKUP(C54,PRODUCTS_NORM!$A:$B,2,FALSE),"")</f>
        <v/>
      </c>
      <c r="E54">
        <f>IFERROR(VLOOKUP(D54,REF_ProductByName!$A:$B,2,FALSE),"")</f>
        <v/>
      </c>
      <c r="F54">
        <f>IFERROR(VLOOKUP(C54,PRODUCTS_NORM!$A:$H,8,FALSE),"")</f>
        <v/>
      </c>
      <c r="G54">
        <f>IFERROR(VLOOKUP(F54,VM_NORM!$A:$C,3,FALSE),"")</f>
        <v/>
      </c>
      <c r="H54">
        <f>IFERROR(VLOOKUP(G54,REF_VMBySerial!$A:$B,2,FALSE),"")</f>
        <v/>
      </c>
      <c r="I54">
        <f>VALUE(SRC_Sales!C54)</f>
        <v/>
      </c>
      <c r="J54">
        <f>VALUE(SRC_Sales!D54)</f>
        <v/>
      </c>
      <c r="K54">
        <f>SRC_Sales!E54</f>
        <v/>
      </c>
      <c r="L54">
        <f>IFERROR(VLOOKUP(K54,MAP_Payment!$A:$B,2,FALSE),K54)</f>
        <v/>
      </c>
      <c r="M54">
        <f>IFERROR(VLOOKUP(L54,REF_SalePayment!$A:$B,2,FALSE),"")</f>
        <v/>
      </c>
    </row>
    <row r="55">
      <c r="A55">
        <f>SRC_Sales!A55</f>
        <v/>
      </c>
      <c r="B55" s="6">
        <f>DATEVALUE(LEFT(A55,10))+TIMEVALUE(MID(A55,12,8))</f>
        <v/>
      </c>
      <c r="C55">
        <f>SRC_Sales!B55</f>
        <v/>
      </c>
      <c r="D55">
        <f>IFERROR(VLOOKUP(C55,PRODUCTS_NORM!$A:$B,2,FALSE),"")</f>
        <v/>
      </c>
      <c r="E55">
        <f>IFERROR(VLOOKUP(D55,REF_ProductByName!$A:$B,2,FALSE),"")</f>
        <v/>
      </c>
      <c r="F55">
        <f>IFERROR(VLOOKUP(C55,PRODUCTS_NORM!$A:$H,8,FALSE),"")</f>
        <v/>
      </c>
      <c r="G55">
        <f>IFERROR(VLOOKUP(F55,VM_NORM!$A:$C,3,FALSE),"")</f>
        <v/>
      </c>
      <c r="H55">
        <f>IFERROR(VLOOKUP(G55,REF_VMBySerial!$A:$B,2,FALSE),"")</f>
        <v/>
      </c>
      <c r="I55">
        <f>VALUE(SRC_Sales!C55)</f>
        <v/>
      </c>
      <c r="J55">
        <f>VALUE(SRC_Sales!D55)</f>
        <v/>
      </c>
      <c r="K55">
        <f>SRC_Sales!E55</f>
        <v/>
      </c>
      <c r="L55">
        <f>IFERROR(VLOOKUP(K55,MAP_Payment!$A:$B,2,FALSE),K55)</f>
        <v/>
      </c>
      <c r="M55">
        <f>IFERROR(VLOOKUP(L55,REF_SalePayment!$A:$B,2,FALSE),"")</f>
        <v/>
      </c>
    </row>
    <row r="56">
      <c r="A56">
        <f>SRC_Sales!A56</f>
        <v/>
      </c>
      <c r="B56" s="6">
        <f>DATEVALUE(LEFT(A56,10))+TIMEVALUE(MID(A56,12,8))</f>
        <v/>
      </c>
      <c r="C56">
        <f>SRC_Sales!B56</f>
        <v/>
      </c>
      <c r="D56">
        <f>IFERROR(VLOOKUP(C56,PRODUCTS_NORM!$A:$B,2,FALSE),"")</f>
        <v/>
      </c>
      <c r="E56">
        <f>IFERROR(VLOOKUP(D56,REF_ProductByName!$A:$B,2,FALSE),"")</f>
        <v/>
      </c>
      <c r="F56">
        <f>IFERROR(VLOOKUP(C56,PRODUCTS_NORM!$A:$H,8,FALSE),"")</f>
        <v/>
      </c>
      <c r="G56">
        <f>IFERROR(VLOOKUP(F56,VM_NORM!$A:$C,3,FALSE),"")</f>
        <v/>
      </c>
      <c r="H56">
        <f>IFERROR(VLOOKUP(G56,REF_VMBySerial!$A:$B,2,FALSE),"")</f>
        <v/>
      </c>
      <c r="I56">
        <f>VALUE(SRC_Sales!C56)</f>
        <v/>
      </c>
      <c r="J56">
        <f>VALUE(SRC_Sales!D56)</f>
        <v/>
      </c>
      <c r="K56">
        <f>SRC_Sales!E56</f>
        <v/>
      </c>
      <c r="L56">
        <f>IFERROR(VLOOKUP(K56,MAP_Payment!$A:$B,2,FALSE),K56)</f>
        <v/>
      </c>
      <c r="M56">
        <f>IFERROR(VLOOKUP(L56,REF_SalePayment!$A:$B,2,FALSE),"")</f>
        <v/>
      </c>
    </row>
    <row r="57">
      <c r="A57">
        <f>SRC_Sales!A57</f>
        <v/>
      </c>
      <c r="B57" s="6">
        <f>DATEVALUE(LEFT(A57,10))+TIMEVALUE(MID(A57,12,8))</f>
        <v/>
      </c>
      <c r="C57">
        <f>SRC_Sales!B57</f>
        <v/>
      </c>
      <c r="D57">
        <f>IFERROR(VLOOKUP(C57,PRODUCTS_NORM!$A:$B,2,FALSE),"")</f>
        <v/>
      </c>
      <c r="E57">
        <f>IFERROR(VLOOKUP(D57,REF_ProductByName!$A:$B,2,FALSE),"")</f>
        <v/>
      </c>
      <c r="F57">
        <f>IFERROR(VLOOKUP(C57,PRODUCTS_NORM!$A:$H,8,FALSE),"")</f>
        <v/>
      </c>
      <c r="G57">
        <f>IFERROR(VLOOKUP(F57,VM_NORM!$A:$C,3,FALSE),"")</f>
        <v/>
      </c>
      <c r="H57">
        <f>IFERROR(VLOOKUP(G57,REF_VMBySerial!$A:$B,2,FALSE),"")</f>
        <v/>
      </c>
      <c r="I57">
        <f>VALUE(SRC_Sales!C57)</f>
        <v/>
      </c>
      <c r="J57">
        <f>VALUE(SRC_Sales!D57)</f>
        <v/>
      </c>
      <c r="K57">
        <f>SRC_Sales!E57</f>
        <v/>
      </c>
      <c r="L57">
        <f>IFERROR(VLOOKUP(K57,MAP_Payment!$A:$B,2,FALSE),K57)</f>
        <v/>
      </c>
      <c r="M57">
        <f>IFERROR(VLOOKUP(L57,REF_SalePayment!$A:$B,2,FALSE),"")</f>
        <v/>
      </c>
    </row>
    <row r="58">
      <c r="A58">
        <f>SRC_Sales!A58</f>
        <v/>
      </c>
      <c r="B58" s="6">
        <f>DATEVALUE(LEFT(A58,10))+TIMEVALUE(MID(A58,12,8))</f>
        <v/>
      </c>
      <c r="C58">
        <f>SRC_Sales!B58</f>
        <v/>
      </c>
      <c r="D58">
        <f>IFERROR(VLOOKUP(C58,PRODUCTS_NORM!$A:$B,2,FALSE),"")</f>
        <v/>
      </c>
      <c r="E58">
        <f>IFERROR(VLOOKUP(D58,REF_ProductByName!$A:$B,2,FALSE),"")</f>
        <v/>
      </c>
      <c r="F58">
        <f>IFERROR(VLOOKUP(C58,PRODUCTS_NORM!$A:$H,8,FALSE),"")</f>
        <v/>
      </c>
      <c r="G58">
        <f>IFERROR(VLOOKUP(F58,VM_NORM!$A:$C,3,FALSE),"")</f>
        <v/>
      </c>
      <c r="H58">
        <f>IFERROR(VLOOKUP(G58,REF_VMBySerial!$A:$B,2,FALSE),"")</f>
        <v/>
      </c>
      <c r="I58">
        <f>VALUE(SRC_Sales!C58)</f>
        <v/>
      </c>
      <c r="J58">
        <f>VALUE(SRC_Sales!D58)</f>
        <v/>
      </c>
      <c r="K58">
        <f>SRC_Sales!E58</f>
        <v/>
      </c>
      <c r="L58">
        <f>IFERROR(VLOOKUP(K58,MAP_Payment!$A:$B,2,FALSE),K58)</f>
        <v/>
      </c>
      <c r="M58">
        <f>IFERROR(VLOOKUP(L58,REF_SalePayment!$A:$B,2,FALSE),"")</f>
        <v/>
      </c>
    </row>
    <row r="59">
      <c r="A59">
        <f>SRC_Sales!A59</f>
        <v/>
      </c>
      <c r="B59" s="6">
        <f>DATEVALUE(LEFT(A59,10))+TIMEVALUE(MID(A59,12,8))</f>
        <v/>
      </c>
      <c r="C59">
        <f>SRC_Sales!B59</f>
        <v/>
      </c>
      <c r="D59">
        <f>IFERROR(VLOOKUP(C59,PRODUCTS_NORM!$A:$B,2,FALSE),"")</f>
        <v/>
      </c>
      <c r="E59">
        <f>IFERROR(VLOOKUP(D59,REF_ProductByName!$A:$B,2,FALSE),"")</f>
        <v/>
      </c>
      <c r="F59">
        <f>IFERROR(VLOOKUP(C59,PRODUCTS_NORM!$A:$H,8,FALSE),"")</f>
        <v/>
      </c>
      <c r="G59">
        <f>IFERROR(VLOOKUP(F59,VM_NORM!$A:$C,3,FALSE),"")</f>
        <v/>
      </c>
      <c r="H59">
        <f>IFERROR(VLOOKUP(G59,REF_VMBySerial!$A:$B,2,FALSE),"")</f>
        <v/>
      </c>
      <c r="I59">
        <f>VALUE(SRC_Sales!C59)</f>
        <v/>
      </c>
      <c r="J59">
        <f>VALUE(SRC_Sales!D59)</f>
        <v/>
      </c>
      <c r="K59">
        <f>SRC_Sales!E59</f>
        <v/>
      </c>
      <c r="L59">
        <f>IFERROR(VLOOKUP(K59,MAP_Payment!$A:$B,2,FALSE),K59)</f>
        <v/>
      </c>
      <c r="M59">
        <f>IFERROR(VLOOKUP(L59,REF_SalePayment!$A:$B,2,FALSE),"")</f>
        <v/>
      </c>
    </row>
    <row r="60">
      <c r="A60">
        <f>SRC_Sales!A60</f>
        <v/>
      </c>
      <c r="B60" s="6">
        <f>DATEVALUE(LEFT(A60,10))+TIMEVALUE(MID(A60,12,8))</f>
        <v/>
      </c>
      <c r="C60">
        <f>SRC_Sales!B60</f>
        <v/>
      </c>
      <c r="D60">
        <f>IFERROR(VLOOKUP(C60,PRODUCTS_NORM!$A:$B,2,FALSE),"")</f>
        <v/>
      </c>
      <c r="E60">
        <f>IFERROR(VLOOKUP(D60,REF_ProductByName!$A:$B,2,FALSE),"")</f>
        <v/>
      </c>
      <c r="F60">
        <f>IFERROR(VLOOKUP(C60,PRODUCTS_NORM!$A:$H,8,FALSE),"")</f>
        <v/>
      </c>
      <c r="G60">
        <f>IFERROR(VLOOKUP(F60,VM_NORM!$A:$C,3,FALSE),"")</f>
        <v/>
      </c>
      <c r="H60">
        <f>IFERROR(VLOOKUP(G60,REF_VMBySerial!$A:$B,2,FALSE),"")</f>
        <v/>
      </c>
      <c r="I60">
        <f>VALUE(SRC_Sales!C60)</f>
        <v/>
      </c>
      <c r="J60">
        <f>VALUE(SRC_Sales!D60)</f>
        <v/>
      </c>
      <c r="K60">
        <f>SRC_Sales!E60</f>
        <v/>
      </c>
      <c r="L60">
        <f>IFERROR(VLOOKUP(K60,MAP_Payment!$A:$B,2,FALSE),K60)</f>
        <v/>
      </c>
      <c r="M60">
        <f>IFERROR(VLOOKUP(L60,REF_SalePayment!$A:$B,2,FALSE),"")</f>
        <v/>
      </c>
    </row>
    <row r="61">
      <c r="A61">
        <f>SRC_Sales!A61</f>
        <v/>
      </c>
      <c r="B61" s="6">
        <f>DATEVALUE(LEFT(A61,10))+TIMEVALUE(MID(A61,12,8))</f>
        <v/>
      </c>
      <c r="C61">
        <f>SRC_Sales!B61</f>
        <v/>
      </c>
      <c r="D61">
        <f>IFERROR(VLOOKUP(C61,PRODUCTS_NORM!$A:$B,2,FALSE),"")</f>
        <v/>
      </c>
      <c r="E61">
        <f>IFERROR(VLOOKUP(D61,REF_ProductByName!$A:$B,2,FALSE),"")</f>
        <v/>
      </c>
      <c r="F61">
        <f>IFERROR(VLOOKUP(C61,PRODUCTS_NORM!$A:$H,8,FALSE),"")</f>
        <v/>
      </c>
      <c r="G61">
        <f>IFERROR(VLOOKUP(F61,VM_NORM!$A:$C,3,FALSE),"")</f>
        <v/>
      </c>
      <c r="H61">
        <f>IFERROR(VLOOKUP(G61,REF_VMBySerial!$A:$B,2,FALSE),"")</f>
        <v/>
      </c>
      <c r="I61">
        <f>VALUE(SRC_Sales!C61)</f>
        <v/>
      </c>
      <c r="J61">
        <f>VALUE(SRC_Sales!D61)</f>
        <v/>
      </c>
      <c r="K61">
        <f>SRC_Sales!E61</f>
        <v/>
      </c>
      <c r="L61">
        <f>IFERROR(VLOOKUP(K61,MAP_Payment!$A:$B,2,FALSE),K61)</f>
        <v/>
      </c>
      <c r="M61">
        <f>IFERROR(VLOOKUP(L61,REF_SalePayment!$A:$B,2,FALSE),"")</f>
        <v/>
      </c>
    </row>
    <row r="62">
      <c r="A62">
        <f>SRC_Sales!A62</f>
        <v/>
      </c>
      <c r="B62" s="6">
        <f>DATEVALUE(LEFT(A62,10))+TIMEVALUE(MID(A62,12,8))</f>
        <v/>
      </c>
      <c r="C62">
        <f>SRC_Sales!B62</f>
        <v/>
      </c>
      <c r="D62">
        <f>IFERROR(VLOOKUP(C62,PRODUCTS_NORM!$A:$B,2,FALSE),"")</f>
        <v/>
      </c>
      <c r="E62">
        <f>IFERROR(VLOOKUP(D62,REF_ProductByName!$A:$B,2,FALSE),"")</f>
        <v/>
      </c>
      <c r="F62">
        <f>IFERROR(VLOOKUP(C62,PRODUCTS_NORM!$A:$H,8,FALSE),"")</f>
        <v/>
      </c>
      <c r="G62">
        <f>IFERROR(VLOOKUP(F62,VM_NORM!$A:$C,3,FALSE),"")</f>
        <v/>
      </c>
      <c r="H62">
        <f>IFERROR(VLOOKUP(G62,REF_VMBySerial!$A:$B,2,FALSE),"")</f>
        <v/>
      </c>
      <c r="I62">
        <f>VALUE(SRC_Sales!C62)</f>
        <v/>
      </c>
      <c r="J62">
        <f>VALUE(SRC_Sales!D62)</f>
        <v/>
      </c>
      <c r="K62">
        <f>SRC_Sales!E62</f>
        <v/>
      </c>
      <c r="L62">
        <f>IFERROR(VLOOKUP(K62,MAP_Payment!$A:$B,2,FALSE),K62)</f>
        <v/>
      </c>
      <c r="M62">
        <f>IFERROR(VLOOKUP(L62,REF_SalePayment!$A:$B,2,FALSE),"")</f>
        <v/>
      </c>
    </row>
    <row r="63">
      <c r="A63">
        <f>SRC_Sales!A63</f>
        <v/>
      </c>
      <c r="B63" s="6">
        <f>DATEVALUE(LEFT(A63,10))+TIMEVALUE(MID(A63,12,8))</f>
        <v/>
      </c>
      <c r="C63">
        <f>SRC_Sales!B63</f>
        <v/>
      </c>
      <c r="D63">
        <f>IFERROR(VLOOKUP(C63,PRODUCTS_NORM!$A:$B,2,FALSE),"")</f>
        <v/>
      </c>
      <c r="E63">
        <f>IFERROR(VLOOKUP(D63,REF_ProductByName!$A:$B,2,FALSE),"")</f>
        <v/>
      </c>
      <c r="F63">
        <f>IFERROR(VLOOKUP(C63,PRODUCTS_NORM!$A:$H,8,FALSE),"")</f>
        <v/>
      </c>
      <c r="G63">
        <f>IFERROR(VLOOKUP(F63,VM_NORM!$A:$C,3,FALSE),"")</f>
        <v/>
      </c>
      <c r="H63">
        <f>IFERROR(VLOOKUP(G63,REF_VMBySerial!$A:$B,2,FALSE),"")</f>
        <v/>
      </c>
      <c r="I63">
        <f>VALUE(SRC_Sales!C63)</f>
        <v/>
      </c>
      <c r="J63">
        <f>VALUE(SRC_Sales!D63)</f>
        <v/>
      </c>
      <c r="K63">
        <f>SRC_Sales!E63</f>
        <v/>
      </c>
      <c r="L63">
        <f>IFERROR(VLOOKUP(K63,MAP_Payment!$A:$B,2,FALSE),K63)</f>
        <v/>
      </c>
      <c r="M63">
        <f>IFERROR(VLOOKUP(L63,REF_SalePayment!$A:$B,2,FALSE),"")</f>
        <v/>
      </c>
    </row>
    <row r="64">
      <c r="A64">
        <f>SRC_Sales!A64</f>
        <v/>
      </c>
      <c r="B64" s="6">
        <f>DATEVALUE(LEFT(A64,10))+TIMEVALUE(MID(A64,12,8))</f>
        <v/>
      </c>
      <c r="C64">
        <f>SRC_Sales!B64</f>
        <v/>
      </c>
      <c r="D64">
        <f>IFERROR(VLOOKUP(C64,PRODUCTS_NORM!$A:$B,2,FALSE),"")</f>
        <v/>
      </c>
      <c r="E64">
        <f>IFERROR(VLOOKUP(D64,REF_ProductByName!$A:$B,2,FALSE),"")</f>
        <v/>
      </c>
      <c r="F64">
        <f>IFERROR(VLOOKUP(C64,PRODUCTS_NORM!$A:$H,8,FALSE),"")</f>
        <v/>
      </c>
      <c r="G64">
        <f>IFERROR(VLOOKUP(F64,VM_NORM!$A:$C,3,FALSE),"")</f>
        <v/>
      </c>
      <c r="H64">
        <f>IFERROR(VLOOKUP(G64,REF_VMBySerial!$A:$B,2,FALSE),"")</f>
        <v/>
      </c>
      <c r="I64">
        <f>VALUE(SRC_Sales!C64)</f>
        <v/>
      </c>
      <c r="J64">
        <f>VALUE(SRC_Sales!D64)</f>
        <v/>
      </c>
      <c r="K64">
        <f>SRC_Sales!E64</f>
        <v/>
      </c>
      <c r="L64">
        <f>IFERROR(VLOOKUP(K64,MAP_Payment!$A:$B,2,FALSE),K64)</f>
        <v/>
      </c>
      <c r="M64">
        <f>IFERROR(VLOOKUP(L64,REF_SalePayment!$A:$B,2,FALSE),"")</f>
        <v/>
      </c>
    </row>
    <row r="65">
      <c r="A65">
        <f>SRC_Sales!A65</f>
        <v/>
      </c>
      <c r="B65" s="6">
        <f>DATEVALUE(LEFT(A65,10))+TIMEVALUE(MID(A65,12,8))</f>
        <v/>
      </c>
      <c r="C65">
        <f>SRC_Sales!B65</f>
        <v/>
      </c>
      <c r="D65">
        <f>IFERROR(VLOOKUP(C65,PRODUCTS_NORM!$A:$B,2,FALSE),"")</f>
        <v/>
      </c>
      <c r="E65">
        <f>IFERROR(VLOOKUP(D65,REF_ProductByName!$A:$B,2,FALSE),"")</f>
        <v/>
      </c>
      <c r="F65">
        <f>IFERROR(VLOOKUP(C65,PRODUCTS_NORM!$A:$H,8,FALSE),"")</f>
        <v/>
      </c>
      <c r="G65">
        <f>IFERROR(VLOOKUP(F65,VM_NORM!$A:$C,3,FALSE),"")</f>
        <v/>
      </c>
      <c r="H65">
        <f>IFERROR(VLOOKUP(G65,REF_VMBySerial!$A:$B,2,FALSE),"")</f>
        <v/>
      </c>
      <c r="I65">
        <f>VALUE(SRC_Sales!C65)</f>
        <v/>
      </c>
      <c r="J65">
        <f>VALUE(SRC_Sales!D65)</f>
        <v/>
      </c>
      <c r="K65">
        <f>SRC_Sales!E65</f>
        <v/>
      </c>
      <c r="L65">
        <f>IFERROR(VLOOKUP(K65,MAP_Payment!$A:$B,2,FALSE),K65)</f>
        <v/>
      </c>
      <c r="M65">
        <f>IFERROR(VLOOKUP(L65,REF_SalePayment!$A:$B,2,FALSE),"")</f>
        <v/>
      </c>
    </row>
    <row r="66">
      <c r="A66">
        <f>SRC_Sales!A66</f>
        <v/>
      </c>
      <c r="B66" s="6">
        <f>DATEVALUE(LEFT(A66,10))+TIMEVALUE(MID(A66,12,8))</f>
        <v/>
      </c>
      <c r="C66">
        <f>SRC_Sales!B66</f>
        <v/>
      </c>
      <c r="D66">
        <f>IFERROR(VLOOKUP(C66,PRODUCTS_NORM!$A:$B,2,FALSE),"")</f>
        <v/>
      </c>
      <c r="E66">
        <f>IFERROR(VLOOKUP(D66,REF_ProductByName!$A:$B,2,FALSE),"")</f>
        <v/>
      </c>
      <c r="F66">
        <f>IFERROR(VLOOKUP(C66,PRODUCTS_NORM!$A:$H,8,FALSE),"")</f>
        <v/>
      </c>
      <c r="G66">
        <f>IFERROR(VLOOKUP(F66,VM_NORM!$A:$C,3,FALSE),"")</f>
        <v/>
      </c>
      <c r="H66">
        <f>IFERROR(VLOOKUP(G66,REF_VMBySerial!$A:$B,2,FALSE),"")</f>
        <v/>
      </c>
      <c r="I66">
        <f>VALUE(SRC_Sales!C66)</f>
        <v/>
      </c>
      <c r="J66">
        <f>VALUE(SRC_Sales!D66)</f>
        <v/>
      </c>
      <c r="K66">
        <f>SRC_Sales!E66</f>
        <v/>
      </c>
      <c r="L66">
        <f>IFERROR(VLOOKUP(K66,MAP_Payment!$A:$B,2,FALSE),K66)</f>
        <v/>
      </c>
      <c r="M66">
        <f>IFERROR(VLOOKUP(L66,REF_SalePayment!$A:$B,2,FALSE),"")</f>
        <v/>
      </c>
    </row>
    <row r="67">
      <c r="A67">
        <f>SRC_Sales!A67</f>
        <v/>
      </c>
      <c r="B67" s="6">
        <f>DATEVALUE(LEFT(A67,10))+TIMEVALUE(MID(A67,12,8))</f>
        <v/>
      </c>
      <c r="C67">
        <f>SRC_Sales!B67</f>
        <v/>
      </c>
      <c r="D67">
        <f>IFERROR(VLOOKUP(C67,PRODUCTS_NORM!$A:$B,2,FALSE),"")</f>
        <v/>
      </c>
      <c r="E67">
        <f>IFERROR(VLOOKUP(D67,REF_ProductByName!$A:$B,2,FALSE),"")</f>
        <v/>
      </c>
      <c r="F67">
        <f>IFERROR(VLOOKUP(C67,PRODUCTS_NORM!$A:$H,8,FALSE),"")</f>
        <v/>
      </c>
      <c r="G67">
        <f>IFERROR(VLOOKUP(F67,VM_NORM!$A:$C,3,FALSE),"")</f>
        <v/>
      </c>
      <c r="H67">
        <f>IFERROR(VLOOKUP(G67,REF_VMBySerial!$A:$B,2,FALSE),"")</f>
        <v/>
      </c>
      <c r="I67">
        <f>VALUE(SRC_Sales!C67)</f>
        <v/>
      </c>
      <c r="J67">
        <f>VALUE(SRC_Sales!D67)</f>
        <v/>
      </c>
      <c r="K67">
        <f>SRC_Sales!E67</f>
        <v/>
      </c>
      <c r="L67">
        <f>IFERROR(VLOOKUP(K67,MAP_Payment!$A:$B,2,FALSE),K67)</f>
        <v/>
      </c>
      <c r="M67">
        <f>IFERROR(VLOOKUP(L67,REF_SalePayment!$A:$B,2,FALSE),"")</f>
        <v/>
      </c>
    </row>
    <row r="68">
      <c r="A68">
        <f>SRC_Sales!A68</f>
        <v/>
      </c>
      <c r="B68" s="6">
        <f>DATEVALUE(LEFT(A68,10))+TIMEVALUE(MID(A68,12,8))</f>
        <v/>
      </c>
      <c r="C68">
        <f>SRC_Sales!B68</f>
        <v/>
      </c>
      <c r="D68">
        <f>IFERROR(VLOOKUP(C68,PRODUCTS_NORM!$A:$B,2,FALSE),"")</f>
        <v/>
      </c>
      <c r="E68">
        <f>IFERROR(VLOOKUP(D68,REF_ProductByName!$A:$B,2,FALSE),"")</f>
        <v/>
      </c>
      <c r="F68">
        <f>IFERROR(VLOOKUP(C68,PRODUCTS_NORM!$A:$H,8,FALSE),"")</f>
        <v/>
      </c>
      <c r="G68">
        <f>IFERROR(VLOOKUP(F68,VM_NORM!$A:$C,3,FALSE),"")</f>
        <v/>
      </c>
      <c r="H68">
        <f>IFERROR(VLOOKUP(G68,REF_VMBySerial!$A:$B,2,FALSE),"")</f>
        <v/>
      </c>
      <c r="I68">
        <f>VALUE(SRC_Sales!C68)</f>
        <v/>
      </c>
      <c r="J68">
        <f>VALUE(SRC_Sales!D68)</f>
        <v/>
      </c>
      <c r="K68">
        <f>SRC_Sales!E68</f>
        <v/>
      </c>
      <c r="L68">
        <f>IFERROR(VLOOKUP(K68,MAP_Payment!$A:$B,2,FALSE),K68)</f>
        <v/>
      </c>
      <c r="M68">
        <f>IFERROR(VLOOKUP(L68,REF_SalePayment!$A:$B,2,FALSE),"")</f>
        <v/>
      </c>
    </row>
    <row r="69">
      <c r="A69">
        <f>SRC_Sales!A69</f>
        <v/>
      </c>
      <c r="B69" s="6">
        <f>DATEVALUE(LEFT(A69,10))+TIMEVALUE(MID(A69,12,8))</f>
        <v/>
      </c>
      <c r="C69">
        <f>SRC_Sales!B69</f>
        <v/>
      </c>
      <c r="D69">
        <f>IFERROR(VLOOKUP(C69,PRODUCTS_NORM!$A:$B,2,FALSE),"")</f>
        <v/>
      </c>
      <c r="E69">
        <f>IFERROR(VLOOKUP(D69,REF_ProductByName!$A:$B,2,FALSE),"")</f>
        <v/>
      </c>
      <c r="F69">
        <f>IFERROR(VLOOKUP(C69,PRODUCTS_NORM!$A:$H,8,FALSE),"")</f>
        <v/>
      </c>
      <c r="G69">
        <f>IFERROR(VLOOKUP(F69,VM_NORM!$A:$C,3,FALSE),"")</f>
        <v/>
      </c>
      <c r="H69">
        <f>IFERROR(VLOOKUP(G69,REF_VMBySerial!$A:$B,2,FALSE),"")</f>
        <v/>
      </c>
      <c r="I69">
        <f>VALUE(SRC_Sales!C69)</f>
        <v/>
      </c>
      <c r="J69">
        <f>VALUE(SRC_Sales!D69)</f>
        <v/>
      </c>
      <c r="K69">
        <f>SRC_Sales!E69</f>
        <v/>
      </c>
      <c r="L69">
        <f>IFERROR(VLOOKUP(K69,MAP_Payment!$A:$B,2,FALSE),K69)</f>
        <v/>
      </c>
      <c r="M69">
        <f>IFERROR(VLOOKUP(L69,REF_SalePayment!$A:$B,2,FALSE),"")</f>
        <v/>
      </c>
    </row>
    <row r="70">
      <c r="A70">
        <f>SRC_Sales!A70</f>
        <v/>
      </c>
      <c r="B70" s="6">
        <f>DATEVALUE(LEFT(A70,10))+TIMEVALUE(MID(A70,12,8))</f>
        <v/>
      </c>
      <c r="C70">
        <f>SRC_Sales!B70</f>
        <v/>
      </c>
      <c r="D70">
        <f>IFERROR(VLOOKUP(C70,PRODUCTS_NORM!$A:$B,2,FALSE),"")</f>
        <v/>
      </c>
      <c r="E70">
        <f>IFERROR(VLOOKUP(D70,REF_ProductByName!$A:$B,2,FALSE),"")</f>
        <v/>
      </c>
      <c r="F70">
        <f>IFERROR(VLOOKUP(C70,PRODUCTS_NORM!$A:$H,8,FALSE),"")</f>
        <v/>
      </c>
      <c r="G70">
        <f>IFERROR(VLOOKUP(F70,VM_NORM!$A:$C,3,FALSE),"")</f>
        <v/>
      </c>
      <c r="H70">
        <f>IFERROR(VLOOKUP(G70,REF_VMBySerial!$A:$B,2,FALSE),"")</f>
        <v/>
      </c>
      <c r="I70">
        <f>VALUE(SRC_Sales!C70)</f>
        <v/>
      </c>
      <c r="J70">
        <f>VALUE(SRC_Sales!D70)</f>
        <v/>
      </c>
      <c r="K70">
        <f>SRC_Sales!E70</f>
        <v/>
      </c>
      <c r="L70">
        <f>IFERROR(VLOOKUP(K70,MAP_Payment!$A:$B,2,FALSE),K70)</f>
        <v/>
      </c>
      <c r="M70">
        <f>IFERROR(VLOOKUP(L70,REF_SalePayment!$A:$B,2,FALSE),"")</f>
        <v/>
      </c>
    </row>
    <row r="71">
      <c r="A71">
        <f>SRC_Sales!A71</f>
        <v/>
      </c>
      <c r="B71" s="6">
        <f>DATEVALUE(LEFT(A71,10))+TIMEVALUE(MID(A71,12,8))</f>
        <v/>
      </c>
      <c r="C71">
        <f>SRC_Sales!B71</f>
        <v/>
      </c>
      <c r="D71">
        <f>IFERROR(VLOOKUP(C71,PRODUCTS_NORM!$A:$B,2,FALSE),"")</f>
        <v/>
      </c>
      <c r="E71">
        <f>IFERROR(VLOOKUP(D71,REF_ProductByName!$A:$B,2,FALSE),"")</f>
        <v/>
      </c>
      <c r="F71">
        <f>IFERROR(VLOOKUP(C71,PRODUCTS_NORM!$A:$H,8,FALSE),"")</f>
        <v/>
      </c>
      <c r="G71">
        <f>IFERROR(VLOOKUP(F71,VM_NORM!$A:$C,3,FALSE),"")</f>
        <v/>
      </c>
      <c r="H71">
        <f>IFERROR(VLOOKUP(G71,REF_VMBySerial!$A:$B,2,FALSE),"")</f>
        <v/>
      </c>
      <c r="I71">
        <f>VALUE(SRC_Sales!C71)</f>
        <v/>
      </c>
      <c r="J71">
        <f>VALUE(SRC_Sales!D71)</f>
        <v/>
      </c>
      <c r="K71">
        <f>SRC_Sales!E71</f>
        <v/>
      </c>
      <c r="L71">
        <f>IFERROR(VLOOKUP(K71,MAP_Payment!$A:$B,2,FALSE),K71)</f>
        <v/>
      </c>
      <c r="M71">
        <f>IFERROR(VLOOKUP(L71,REF_SalePayment!$A:$B,2,FALSE),"")</f>
        <v/>
      </c>
    </row>
    <row r="72">
      <c r="A72">
        <f>SRC_Sales!A72</f>
        <v/>
      </c>
      <c r="B72" s="6">
        <f>DATEVALUE(LEFT(A72,10))+TIMEVALUE(MID(A72,12,8))</f>
        <v/>
      </c>
      <c r="C72">
        <f>SRC_Sales!B72</f>
        <v/>
      </c>
      <c r="D72">
        <f>IFERROR(VLOOKUP(C72,PRODUCTS_NORM!$A:$B,2,FALSE),"")</f>
        <v/>
      </c>
      <c r="E72">
        <f>IFERROR(VLOOKUP(D72,REF_ProductByName!$A:$B,2,FALSE),"")</f>
        <v/>
      </c>
      <c r="F72">
        <f>IFERROR(VLOOKUP(C72,PRODUCTS_NORM!$A:$H,8,FALSE),"")</f>
        <v/>
      </c>
      <c r="G72">
        <f>IFERROR(VLOOKUP(F72,VM_NORM!$A:$C,3,FALSE),"")</f>
        <v/>
      </c>
      <c r="H72">
        <f>IFERROR(VLOOKUP(G72,REF_VMBySerial!$A:$B,2,FALSE),"")</f>
        <v/>
      </c>
      <c r="I72">
        <f>VALUE(SRC_Sales!C72)</f>
        <v/>
      </c>
      <c r="J72">
        <f>VALUE(SRC_Sales!D72)</f>
        <v/>
      </c>
      <c r="K72">
        <f>SRC_Sales!E72</f>
        <v/>
      </c>
      <c r="L72">
        <f>IFERROR(VLOOKUP(K72,MAP_Payment!$A:$B,2,FALSE),K72)</f>
        <v/>
      </c>
      <c r="M72">
        <f>IFERROR(VLOOKUP(L72,REF_SalePayment!$A:$B,2,FALSE),"")</f>
        <v/>
      </c>
    </row>
    <row r="73">
      <c r="A73">
        <f>SRC_Sales!A73</f>
        <v/>
      </c>
      <c r="B73" s="6">
        <f>DATEVALUE(LEFT(A73,10))+TIMEVALUE(MID(A73,12,8))</f>
        <v/>
      </c>
      <c r="C73">
        <f>SRC_Sales!B73</f>
        <v/>
      </c>
      <c r="D73">
        <f>IFERROR(VLOOKUP(C73,PRODUCTS_NORM!$A:$B,2,FALSE),"")</f>
        <v/>
      </c>
      <c r="E73">
        <f>IFERROR(VLOOKUP(D73,REF_ProductByName!$A:$B,2,FALSE),"")</f>
        <v/>
      </c>
      <c r="F73">
        <f>IFERROR(VLOOKUP(C73,PRODUCTS_NORM!$A:$H,8,FALSE),"")</f>
        <v/>
      </c>
      <c r="G73">
        <f>IFERROR(VLOOKUP(F73,VM_NORM!$A:$C,3,FALSE),"")</f>
        <v/>
      </c>
      <c r="H73">
        <f>IFERROR(VLOOKUP(G73,REF_VMBySerial!$A:$B,2,FALSE),"")</f>
        <v/>
      </c>
      <c r="I73">
        <f>VALUE(SRC_Sales!C73)</f>
        <v/>
      </c>
      <c r="J73">
        <f>VALUE(SRC_Sales!D73)</f>
        <v/>
      </c>
      <c r="K73">
        <f>SRC_Sales!E73</f>
        <v/>
      </c>
      <c r="L73">
        <f>IFERROR(VLOOKUP(K73,MAP_Payment!$A:$B,2,FALSE),K73)</f>
        <v/>
      </c>
      <c r="M73">
        <f>IFERROR(VLOOKUP(L73,REF_SalePayment!$A:$B,2,FALSE),"")</f>
        <v/>
      </c>
    </row>
    <row r="74">
      <c r="A74">
        <f>SRC_Sales!A74</f>
        <v/>
      </c>
      <c r="B74" s="6">
        <f>DATEVALUE(LEFT(A74,10))+TIMEVALUE(MID(A74,12,8))</f>
        <v/>
      </c>
      <c r="C74">
        <f>SRC_Sales!B74</f>
        <v/>
      </c>
      <c r="D74">
        <f>IFERROR(VLOOKUP(C74,PRODUCTS_NORM!$A:$B,2,FALSE),"")</f>
        <v/>
      </c>
      <c r="E74">
        <f>IFERROR(VLOOKUP(D74,REF_ProductByName!$A:$B,2,FALSE),"")</f>
        <v/>
      </c>
      <c r="F74">
        <f>IFERROR(VLOOKUP(C74,PRODUCTS_NORM!$A:$H,8,FALSE),"")</f>
        <v/>
      </c>
      <c r="G74">
        <f>IFERROR(VLOOKUP(F74,VM_NORM!$A:$C,3,FALSE),"")</f>
        <v/>
      </c>
      <c r="H74">
        <f>IFERROR(VLOOKUP(G74,REF_VMBySerial!$A:$B,2,FALSE),"")</f>
        <v/>
      </c>
      <c r="I74">
        <f>VALUE(SRC_Sales!C74)</f>
        <v/>
      </c>
      <c r="J74">
        <f>VALUE(SRC_Sales!D74)</f>
        <v/>
      </c>
      <c r="K74">
        <f>SRC_Sales!E74</f>
        <v/>
      </c>
      <c r="L74">
        <f>IFERROR(VLOOKUP(K74,MAP_Payment!$A:$B,2,FALSE),K74)</f>
        <v/>
      </c>
      <c r="M74">
        <f>IFERROR(VLOOKUP(L74,REF_SalePayment!$A:$B,2,FALSE),"")</f>
        <v/>
      </c>
    </row>
    <row r="75">
      <c r="A75">
        <f>SRC_Sales!A75</f>
        <v/>
      </c>
      <c r="B75" s="6">
        <f>DATEVALUE(LEFT(A75,10))+TIMEVALUE(MID(A75,12,8))</f>
        <v/>
      </c>
      <c r="C75">
        <f>SRC_Sales!B75</f>
        <v/>
      </c>
      <c r="D75">
        <f>IFERROR(VLOOKUP(C75,PRODUCTS_NORM!$A:$B,2,FALSE),"")</f>
        <v/>
      </c>
      <c r="E75">
        <f>IFERROR(VLOOKUP(D75,REF_ProductByName!$A:$B,2,FALSE),"")</f>
        <v/>
      </c>
      <c r="F75">
        <f>IFERROR(VLOOKUP(C75,PRODUCTS_NORM!$A:$H,8,FALSE),"")</f>
        <v/>
      </c>
      <c r="G75">
        <f>IFERROR(VLOOKUP(F75,VM_NORM!$A:$C,3,FALSE),"")</f>
        <v/>
      </c>
      <c r="H75">
        <f>IFERROR(VLOOKUP(G75,REF_VMBySerial!$A:$B,2,FALSE),"")</f>
        <v/>
      </c>
      <c r="I75">
        <f>VALUE(SRC_Sales!C75)</f>
        <v/>
      </c>
      <c r="J75">
        <f>VALUE(SRC_Sales!D75)</f>
        <v/>
      </c>
      <c r="K75">
        <f>SRC_Sales!E75</f>
        <v/>
      </c>
      <c r="L75">
        <f>IFERROR(VLOOKUP(K75,MAP_Payment!$A:$B,2,FALSE),K75)</f>
        <v/>
      </c>
      <c r="M75">
        <f>IFERROR(VLOOKUP(L75,REF_SalePayment!$A:$B,2,FALSE),"")</f>
        <v/>
      </c>
    </row>
    <row r="76">
      <c r="A76">
        <f>SRC_Sales!A76</f>
        <v/>
      </c>
      <c r="B76" s="6">
        <f>DATEVALUE(LEFT(A76,10))+TIMEVALUE(MID(A76,12,8))</f>
        <v/>
      </c>
      <c r="C76">
        <f>SRC_Sales!B76</f>
        <v/>
      </c>
      <c r="D76">
        <f>IFERROR(VLOOKUP(C76,PRODUCTS_NORM!$A:$B,2,FALSE),"")</f>
        <v/>
      </c>
      <c r="E76">
        <f>IFERROR(VLOOKUP(D76,REF_ProductByName!$A:$B,2,FALSE),"")</f>
        <v/>
      </c>
      <c r="F76">
        <f>IFERROR(VLOOKUP(C76,PRODUCTS_NORM!$A:$H,8,FALSE),"")</f>
        <v/>
      </c>
      <c r="G76">
        <f>IFERROR(VLOOKUP(F76,VM_NORM!$A:$C,3,FALSE),"")</f>
        <v/>
      </c>
      <c r="H76">
        <f>IFERROR(VLOOKUP(G76,REF_VMBySerial!$A:$B,2,FALSE),"")</f>
        <v/>
      </c>
      <c r="I76">
        <f>VALUE(SRC_Sales!C76)</f>
        <v/>
      </c>
      <c r="J76">
        <f>VALUE(SRC_Sales!D76)</f>
        <v/>
      </c>
      <c r="K76">
        <f>SRC_Sales!E76</f>
        <v/>
      </c>
      <c r="L76">
        <f>IFERROR(VLOOKUP(K76,MAP_Payment!$A:$B,2,FALSE),K76)</f>
        <v/>
      </c>
      <c r="M76">
        <f>IFERROR(VLOOKUP(L76,REF_SalePayment!$A:$B,2,FALSE),"")</f>
        <v/>
      </c>
    </row>
    <row r="77">
      <c r="A77">
        <f>SRC_Sales!A77</f>
        <v/>
      </c>
      <c r="B77" s="6">
        <f>DATEVALUE(LEFT(A77,10))+TIMEVALUE(MID(A77,12,8))</f>
        <v/>
      </c>
      <c r="C77">
        <f>SRC_Sales!B77</f>
        <v/>
      </c>
      <c r="D77">
        <f>IFERROR(VLOOKUP(C77,PRODUCTS_NORM!$A:$B,2,FALSE),"")</f>
        <v/>
      </c>
      <c r="E77">
        <f>IFERROR(VLOOKUP(D77,REF_ProductByName!$A:$B,2,FALSE),"")</f>
        <v/>
      </c>
      <c r="F77">
        <f>IFERROR(VLOOKUP(C77,PRODUCTS_NORM!$A:$H,8,FALSE),"")</f>
        <v/>
      </c>
      <c r="G77">
        <f>IFERROR(VLOOKUP(F77,VM_NORM!$A:$C,3,FALSE),"")</f>
        <v/>
      </c>
      <c r="H77">
        <f>IFERROR(VLOOKUP(G77,REF_VMBySerial!$A:$B,2,FALSE),"")</f>
        <v/>
      </c>
      <c r="I77">
        <f>VALUE(SRC_Sales!C77)</f>
        <v/>
      </c>
      <c r="J77">
        <f>VALUE(SRC_Sales!D77)</f>
        <v/>
      </c>
      <c r="K77">
        <f>SRC_Sales!E77</f>
        <v/>
      </c>
      <c r="L77">
        <f>IFERROR(VLOOKUP(K77,MAP_Payment!$A:$B,2,FALSE),K77)</f>
        <v/>
      </c>
      <c r="M77">
        <f>IFERROR(VLOOKUP(L77,REF_SalePayment!$A:$B,2,FALSE),"")</f>
        <v/>
      </c>
    </row>
    <row r="78">
      <c r="A78">
        <f>SRC_Sales!A78</f>
        <v/>
      </c>
      <c r="B78" s="6">
        <f>DATEVALUE(LEFT(A78,10))+TIMEVALUE(MID(A78,12,8))</f>
        <v/>
      </c>
      <c r="C78">
        <f>SRC_Sales!B78</f>
        <v/>
      </c>
      <c r="D78">
        <f>IFERROR(VLOOKUP(C78,PRODUCTS_NORM!$A:$B,2,FALSE),"")</f>
        <v/>
      </c>
      <c r="E78">
        <f>IFERROR(VLOOKUP(D78,REF_ProductByName!$A:$B,2,FALSE),"")</f>
        <v/>
      </c>
      <c r="F78">
        <f>IFERROR(VLOOKUP(C78,PRODUCTS_NORM!$A:$H,8,FALSE),"")</f>
        <v/>
      </c>
      <c r="G78">
        <f>IFERROR(VLOOKUP(F78,VM_NORM!$A:$C,3,FALSE),"")</f>
        <v/>
      </c>
      <c r="H78">
        <f>IFERROR(VLOOKUP(G78,REF_VMBySerial!$A:$B,2,FALSE),"")</f>
        <v/>
      </c>
      <c r="I78">
        <f>VALUE(SRC_Sales!C78)</f>
        <v/>
      </c>
      <c r="J78">
        <f>VALUE(SRC_Sales!D78)</f>
        <v/>
      </c>
      <c r="K78">
        <f>SRC_Sales!E78</f>
        <v/>
      </c>
      <c r="L78">
        <f>IFERROR(VLOOKUP(K78,MAP_Payment!$A:$B,2,FALSE),K78)</f>
        <v/>
      </c>
      <c r="M78">
        <f>IFERROR(VLOOKUP(L78,REF_SalePayment!$A:$B,2,FALSE),"")</f>
        <v/>
      </c>
    </row>
    <row r="79">
      <c r="A79">
        <f>SRC_Sales!A79</f>
        <v/>
      </c>
      <c r="B79" s="6">
        <f>DATEVALUE(LEFT(A79,10))+TIMEVALUE(MID(A79,12,8))</f>
        <v/>
      </c>
      <c r="C79">
        <f>SRC_Sales!B79</f>
        <v/>
      </c>
      <c r="D79">
        <f>IFERROR(VLOOKUP(C79,PRODUCTS_NORM!$A:$B,2,FALSE),"")</f>
        <v/>
      </c>
      <c r="E79">
        <f>IFERROR(VLOOKUP(D79,REF_ProductByName!$A:$B,2,FALSE),"")</f>
        <v/>
      </c>
      <c r="F79">
        <f>IFERROR(VLOOKUP(C79,PRODUCTS_NORM!$A:$H,8,FALSE),"")</f>
        <v/>
      </c>
      <c r="G79">
        <f>IFERROR(VLOOKUP(F79,VM_NORM!$A:$C,3,FALSE),"")</f>
        <v/>
      </c>
      <c r="H79">
        <f>IFERROR(VLOOKUP(G79,REF_VMBySerial!$A:$B,2,FALSE),"")</f>
        <v/>
      </c>
      <c r="I79">
        <f>VALUE(SRC_Sales!C79)</f>
        <v/>
      </c>
      <c r="J79">
        <f>VALUE(SRC_Sales!D79)</f>
        <v/>
      </c>
      <c r="K79">
        <f>SRC_Sales!E79</f>
        <v/>
      </c>
      <c r="L79">
        <f>IFERROR(VLOOKUP(K79,MAP_Payment!$A:$B,2,FALSE),K79)</f>
        <v/>
      </c>
      <c r="M79">
        <f>IFERROR(VLOOKUP(L79,REF_SalePayment!$A:$B,2,FALSE),"")</f>
        <v/>
      </c>
    </row>
    <row r="80">
      <c r="A80">
        <f>SRC_Sales!A80</f>
        <v/>
      </c>
      <c r="B80" s="6">
        <f>DATEVALUE(LEFT(A80,10))+TIMEVALUE(MID(A80,12,8))</f>
        <v/>
      </c>
      <c r="C80">
        <f>SRC_Sales!B80</f>
        <v/>
      </c>
      <c r="D80">
        <f>IFERROR(VLOOKUP(C80,PRODUCTS_NORM!$A:$B,2,FALSE),"")</f>
        <v/>
      </c>
      <c r="E80">
        <f>IFERROR(VLOOKUP(D80,REF_ProductByName!$A:$B,2,FALSE),"")</f>
        <v/>
      </c>
      <c r="F80">
        <f>IFERROR(VLOOKUP(C80,PRODUCTS_NORM!$A:$H,8,FALSE),"")</f>
        <v/>
      </c>
      <c r="G80">
        <f>IFERROR(VLOOKUP(F80,VM_NORM!$A:$C,3,FALSE),"")</f>
        <v/>
      </c>
      <c r="H80">
        <f>IFERROR(VLOOKUP(G80,REF_VMBySerial!$A:$B,2,FALSE),"")</f>
        <v/>
      </c>
      <c r="I80">
        <f>VALUE(SRC_Sales!C80)</f>
        <v/>
      </c>
      <c r="J80">
        <f>VALUE(SRC_Sales!D80)</f>
        <v/>
      </c>
      <c r="K80">
        <f>SRC_Sales!E80</f>
        <v/>
      </c>
      <c r="L80">
        <f>IFERROR(VLOOKUP(K80,MAP_Payment!$A:$B,2,FALSE),K80)</f>
        <v/>
      </c>
      <c r="M80">
        <f>IFERROR(VLOOKUP(L80,REF_SalePayment!$A:$B,2,FALSE),"")</f>
        <v/>
      </c>
    </row>
    <row r="81">
      <c r="A81">
        <f>SRC_Sales!A81</f>
        <v/>
      </c>
      <c r="B81" s="6">
        <f>DATEVALUE(LEFT(A81,10))+TIMEVALUE(MID(A81,12,8))</f>
        <v/>
      </c>
      <c r="C81">
        <f>SRC_Sales!B81</f>
        <v/>
      </c>
      <c r="D81">
        <f>IFERROR(VLOOKUP(C81,PRODUCTS_NORM!$A:$B,2,FALSE),"")</f>
        <v/>
      </c>
      <c r="E81">
        <f>IFERROR(VLOOKUP(D81,REF_ProductByName!$A:$B,2,FALSE),"")</f>
        <v/>
      </c>
      <c r="F81">
        <f>IFERROR(VLOOKUP(C81,PRODUCTS_NORM!$A:$H,8,FALSE),"")</f>
        <v/>
      </c>
      <c r="G81">
        <f>IFERROR(VLOOKUP(F81,VM_NORM!$A:$C,3,FALSE),"")</f>
        <v/>
      </c>
      <c r="H81">
        <f>IFERROR(VLOOKUP(G81,REF_VMBySerial!$A:$B,2,FALSE),"")</f>
        <v/>
      </c>
      <c r="I81">
        <f>VALUE(SRC_Sales!C81)</f>
        <v/>
      </c>
      <c r="J81">
        <f>VALUE(SRC_Sales!D81)</f>
        <v/>
      </c>
      <c r="K81">
        <f>SRC_Sales!E81</f>
        <v/>
      </c>
      <c r="L81">
        <f>IFERROR(VLOOKUP(K81,MAP_Payment!$A:$B,2,FALSE),K81)</f>
        <v/>
      </c>
      <c r="M81">
        <f>IFERROR(VLOOKUP(L81,REF_SalePayment!$A:$B,2,FALSE),"")</f>
        <v/>
      </c>
    </row>
    <row r="82">
      <c r="A82">
        <f>SRC_Sales!A82</f>
        <v/>
      </c>
      <c r="B82" s="6">
        <f>DATEVALUE(LEFT(A82,10))+TIMEVALUE(MID(A82,12,8))</f>
        <v/>
      </c>
      <c r="C82">
        <f>SRC_Sales!B82</f>
        <v/>
      </c>
      <c r="D82">
        <f>IFERROR(VLOOKUP(C82,PRODUCTS_NORM!$A:$B,2,FALSE),"")</f>
        <v/>
      </c>
      <c r="E82">
        <f>IFERROR(VLOOKUP(D82,REF_ProductByName!$A:$B,2,FALSE),"")</f>
        <v/>
      </c>
      <c r="F82">
        <f>IFERROR(VLOOKUP(C82,PRODUCTS_NORM!$A:$H,8,FALSE),"")</f>
        <v/>
      </c>
      <c r="G82">
        <f>IFERROR(VLOOKUP(F82,VM_NORM!$A:$C,3,FALSE),"")</f>
        <v/>
      </c>
      <c r="H82">
        <f>IFERROR(VLOOKUP(G82,REF_VMBySerial!$A:$B,2,FALSE),"")</f>
        <v/>
      </c>
      <c r="I82">
        <f>VALUE(SRC_Sales!C82)</f>
        <v/>
      </c>
      <c r="J82">
        <f>VALUE(SRC_Sales!D82)</f>
        <v/>
      </c>
      <c r="K82">
        <f>SRC_Sales!E82</f>
        <v/>
      </c>
      <c r="L82">
        <f>IFERROR(VLOOKUP(K82,MAP_Payment!$A:$B,2,FALSE),K82)</f>
        <v/>
      </c>
      <c r="M82">
        <f>IFERROR(VLOOKUP(L82,REF_SalePayment!$A:$B,2,FALSE),"")</f>
        <v/>
      </c>
    </row>
    <row r="83">
      <c r="A83">
        <f>SRC_Sales!A83</f>
        <v/>
      </c>
      <c r="B83" s="6">
        <f>DATEVALUE(LEFT(A83,10))+TIMEVALUE(MID(A83,12,8))</f>
        <v/>
      </c>
      <c r="C83">
        <f>SRC_Sales!B83</f>
        <v/>
      </c>
      <c r="D83">
        <f>IFERROR(VLOOKUP(C83,PRODUCTS_NORM!$A:$B,2,FALSE),"")</f>
        <v/>
      </c>
      <c r="E83">
        <f>IFERROR(VLOOKUP(D83,REF_ProductByName!$A:$B,2,FALSE),"")</f>
        <v/>
      </c>
      <c r="F83">
        <f>IFERROR(VLOOKUP(C83,PRODUCTS_NORM!$A:$H,8,FALSE),"")</f>
        <v/>
      </c>
      <c r="G83">
        <f>IFERROR(VLOOKUP(F83,VM_NORM!$A:$C,3,FALSE),"")</f>
        <v/>
      </c>
      <c r="H83">
        <f>IFERROR(VLOOKUP(G83,REF_VMBySerial!$A:$B,2,FALSE),"")</f>
        <v/>
      </c>
      <c r="I83">
        <f>VALUE(SRC_Sales!C83)</f>
        <v/>
      </c>
      <c r="J83">
        <f>VALUE(SRC_Sales!D83)</f>
        <v/>
      </c>
      <c r="K83">
        <f>SRC_Sales!E83</f>
        <v/>
      </c>
      <c r="L83">
        <f>IFERROR(VLOOKUP(K83,MAP_Payment!$A:$B,2,FALSE),K83)</f>
        <v/>
      </c>
      <c r="M83">
        <f>IFERROR(VLOOKUP(L83,REF_SalePayment!$A:$B,2,FALSE),"")</f>
        <v/>
      </c>
    </row>
    <row r="84">
      <c r="A84">
        <f>SRC_Sales!A84</f>
        <v/>
      </c>
      <c r="B84" s="6">
        <f>DATEVALUE(LEFT(A84,10))+TIMEVALUE(MID(A84,12,8))</f>
        <v/>
      </c>
      <c r="C84">
        <f>SRC_Sales!B84</f>
        <v/>
      </c>
      <c r="D84">
        <f>IFERROR(VLOOKUP(C84,PRODUCTS_NORM!$A:$B,2,FALSE),"")</f>
        <v/>
      </c>
      <c r="E84">
        <f>IFERROR(VLOOKUP(D84,REF_ProductByName!$A:$B,2,FALSE),"")</f>
        <v/>
      </c>
      <c r="F84">
        <f>IFERROR(VLOOKUP(C84,PRODUCTS_NORM!$A:$H,8,FALSE),"")</f>
        <v/>
      </c>
      <c r="G84">
        <f>IFERROR(VLOOKUP(F84,VM_NORM!$A:$C,3,FALSE),"")</f>
        <v/>
      </c>
      <c r="H84">
        <f>IFERROR(VLOOKUP(G84,REF_VMBySerial!$A:$B,2,FALSE),"")</f>
        <v/>
      </c>
      <c r="I84">
        <f>VALUE(SRC_Sales!C84)</f>
        <v/>
      </c>
      <c r="J84">
        <f>VALUE(SRC_Sales!D84)</f>
        <v/>
      </c>
      <c r="K84">
        <f>SRC_Sales!E84</f>
        <v/>
      </c>
      <c r="L84">
        <f>IFERROR(VLOOKUP(K84,MAP_Payment!$A:$B,2,FALSE),K84)</f>
        <v/>
      </c>
      <c r="M84">
        <f>IFERROR(VLOOKUP(L84,REF_SalePayment!$A:$B,2,FALSE),"")</f>
        <v/>
      </c>
    </row>
    <row r="85">
      <c r="A85">
        <f>SRC_Sales!A85</f>
        <v/>
      </c>
      <c r="B85" s="6">
        <f>DATEVALUE(LEFT(A85,10))+TIMEVALUE(MID(A85,12,8))</f>
        <v/>
      </c>
      <c r="C85">
        <f>SRC_Sales!B85</f>
        <v/>
      </c>
      <c r="D85">
        <f>IFERROR(VLOOKUP(C85,PRODUCTS_NORM!$A:$B,2,FALSE),"")</f>
        <v/>
      </c>
      <c r="E85">
        <f>IFERROR(VLOOKUP(D85,REF_ProductByName!$A:$B,2,FALSE),"")</f>
        <v/>
      </c>
      <c r="F85">
        <f>IFERROR(VLOOKUP(C85,PRODUCTS_NORM!$A:$H,8,FALSE),"")</f>
        <v/>
      </c>
      <c r="G85">
        <f>IFERROR(VLOOKUP(F85,VM_NORM!$A:$C,3,FALSE),"")</f>
        <v/>
      </c>
      <c r="H85">
        <f>IFERROR(VLOOKUP(G85,REF_VMBySerial!$A:$B,2,FALSE),"")</f>
        <v/>
      </c>
      <c r="I85">
        <f>VALUE(SRC_Sales!C85)</f>
        <v/>
      </c>
      <c r="J85">
        <f>VALUE(SRC_Sales!D85)</f>
        <v/>
      </c>
      <c r="K85">
        <f>SRC_Sales!E85</f>
        <v/>
      </c>
      <c r="L85">
        <f>IFERROR(VLOOKUP(K85,MAP_Payment!$A:$B,2,FALSE),K85)</f>
        <v/>
      </c>
      <c r="M85">
        <f>IFERROR(VLOOKUP(L85,REF_SalePayment!$A:$B,2,FALSE),"")</f>
        <v/>
      </c>
    </row>
    <row r="86">
      <c r="A86">
        <f>SRC_Sales!A86</f>
        <v/>
      </c>
      <c r="B86" s="6">
        <f>DATEVALUE(LEFT(A86,10))+TIMEVALUE(MID(A86,12,8))</f>
        <v/>
      </c>
      <c r="C86">
        <f>SRC_Sales!B86</f>
        <v/>
      </c>
      <c r="D86">
        <f>IFERROR(VLOOKUP(C86,PRODUCTS_NORM!$A:$B,2,FALSE),"")</f>
        <v/>
      </c>
      <c r="E86">
        <f>IFERROR(VLOOKUP(D86,REF_ProductByName!$A:$B,2,FALSE),"")</f>
        <v/>
      </c>
      <c r="F86">
        <f>IFERROR(VLOOKUP(C86,PRODUCTS_NORM!$A:$H,8,FALSE),"")</f>
        <v/>
      </c>
      <c r="G86">
        <f>IFERROR(VLOOKUP(F86,VM_NORM!$A:$C,3,FALSE),"")</f>
        <v/>
      </c>
      <c r="H86">
        <f>IFERROR(VLOOKUP(G86,REF_VMBySerial!$A:$B,2,FALSE),"")</f>
        <v/>
      </c>
      <c r="I86">
        <f>VALUE(SRC_Sales!C86)</f>
        <v/>
      </c>
      <c r="J86">
        <f>VALUE(SRC_Sales!D86)</f>
        <v/>
      </c>
      <c r="K86">
        <f>SRC_Sales!E86</f>
        <v/>
      </c>
      <c r="L86">
        <f>IFERROR(VLOOKUP(K86,MAP_Payment!$A:$B,2,FALSE),K86)</f>
        <v/>
      </c>
      <c r="M86">
        <f>IFERROR(VLOOKUP(L86,REF_SalePayment!$A:$B,2,FALSE),"")</f>
        <v/>
      </c>
    </row>
    <row r="87">
      <c r="A87">
        <f>SRC_Sales!A87</f>
        <v/>
      </c>
      <c r="B87" s="6">
        <f>DATEVALUE(LEFT(A87,10))+TIMEVALUE(MID(A87,12,8))</f>
        <v/>
      </c>
      <c r="C87">
        <f>SRC_Sales!B87</f>
        <v/>
      </c>
      <c r="D87">
        <f>IFERROR(VLOOKUP(C87,PRODUCTS_NORM!$A:$B,2,FALSE),"")</f>
        <v/>
      </c>
      <c r="E87">
        <f>IFERROR(VLOOKUP(D87,REF_ProductByName!$A:$B,2,FALSE),"")</f>
        <v/>
      </c>
      <c r="F87">
        <f>IFERROR(VLOOKUP(C87,PRODUCTS_NORM!$A:$H,8,FALSE),"")</f>
        <v/>
      </c>
      <c r="G87">
        <f>IFERROR(VLOOKUP(F87,VM_NORM!$A:$C,3,FALSE),"")</f>
        <v/>
      </c>
      <c r="H87">
        <f>IFERROR(VLOOKUP(G87,REF_VMBySerial!$A:$B,2,FALSE),"")</f>
        <v/>
      </c>
      <c r="I87">
        <f>VALUE(SRC_Sales!C87)</f>
        <v/>
      </c>
      <c r="J87">
        <f>VALUE(SRC_Sales!D87)</f>
        <v/>
      </c>
      <c r="K87">
        <f>SRC_Sales!E87</f>
        <v/>
      </c>
      <c r="L87">
        <f>IFERROR(VLOOKUP(K87,MAP_Payment!$A:$B,2,FALSE),K87)</f>
        <v/>
      </c>
      <c r="M87">
        <f>IFERROR(VLOOKUP(L87,REF_SalePayment!$A:$B,2,FALSE),"")</f>
        <v/>
      </c>
    </row>
    <row r="88">
      <c r="A88">
        <f>SRC_Sales!A88</f>
        <v/>
      </c>
      <c r="B88" s="6">
        <f>DATEVALUE(LEFT(A88,10))+TIMEVALUE(MID(A88,12,8))</f>
        <v/>
      </c>
      <c r="C88">
        <f>SRC_Sales!B88</f>
        <v/>
      </c>
      <c r="D88">
        <f>IFERROR(VLOOKUP(C88,PRODUCTS_NORM!$A:$B,2,FALSE),"")</f>
        <v/>
      </c>
      <c r="E88">
        <f>IFERROR(VLOOKUP(D88,REF_ProductByName!$A:$B,2,FALSE),"")</f>
        <v/>
      </c>
      <c r="F88">
        <f>IFERROR(VLOOKUP(C88,PRODUCTS_NORM!$A:$H,8,FALSE),"")</f>
        <v/>
      </c>
      <c r="G88">
        <f>IFERROR(VLOOKUP(F88,VM_NORM!$A:$C,3,FALSE),"")</f>
        <v/>
      </c>
      <c r="H88">
        <f>IFERROR(VLOOKUP(G88,REF_VMBySerial!$A:$B,2,FALSE),"")</f>
        <v/>
      </c>
      <c r="I88">
        <f>VALUE(SRC_Sales!C88)</f>
        <v/>
      </c>
      <c r="J88">
        <f>VALUE(SRC_Sales!D88)</f>
        <v/>
      </c>
      <c r="K88">
        <f>SRC_Sales!E88</f>
        <v/>
      </c>
      <c r="L88">
        <f>IFERROR(VLOOKUP(K88,MAP_Payment!$A:$B,2,FALSE),K88)</f>
        <v/>
      </c>
      <c r="M88">
        <f>IFERROR(VLOOKUP(L88,REF_SalePayment!$A:$B,2,FALSE),"")</f>
        <v/>
      </c>
    </row>
    <row r="89">
      <c r="A89">
        <f>SRC_Sales!A89</f>
        <v/>
      </c>
      <c r="B89" s="6">
        <f>DATEVALUE(LEFT(A89,10))+TIMEVALUE(MID(A89,12,8))</f>
        <v/>
      </c>
      <c r="C89">
        <f>SRC_Sales!B89</f>
        <v/>
      </c>
      <c r="D89">
        <f>IFERROR(VLOOKUP(C89,PRODUCTS_NORM!$A:$B,2,FALSE),"")</f>
        <v/>
      </c>
      <c r="E89">
        <f>IFERROR(VLOOKUP(D89,REF_ProductByName!$A:$B,2,FALSE),"")</f>
        <v/>
      </c>
      <c r="F89">
        <f>IFERROR(VLOOKUP(C89,PRODUCTS_NORM!$A:$H,8,FALSE),"")</f>
        <v/>
      </c>
      <c r="G89">
        <f>IFERROR(VLOOKUP(F89,VM_NORM!$A:$C,3,FALSE),"")</f>
        <v/>
      </c>
      <c r="H89">
        <f>IFERROR(VLOOKUP(G89,REF_VMBySerial!$A:$B,2,FALSE),"")</f>
        <v/>
      </c>
      <c r="I89">
        <f>VALUE(SRC_Sales!C89)</f>
        <v/>
      </c>
      <c r="J89">
        <f>VALUE(SRC_Sales!D89)</f>
        <v/>
      </c>
      <c r="K89">
        <f>SRC_Sales!E89</f>
        <v/>
      </c>
      <c r="L89">
        <f>IFERROR(VLOOKUP(K89,MAP_Payment!$A:$B,2,FALSE),K89)</f>
        <v/>
      </c>
      <c r="M89">
        <f>IFERROR(VLOOKUP(L89,REF_SalePayment!$A:$B,2,FALSE),"")</f>
        <v/>
      </c>
    </row>
    <row r="90">
      <c r="A90">
        <f>SRC_Sales!A90</f>
        <v/>
      </c>
      <c r="B90" s="6">
        <f>DATEVALUE(LEFT(A90,10))+TIMEVALUE(MID(A90,12,8))</f>
        <v/>
      </c>
      <c r="C90">
        <f>SRC_Sales!B90</f>
        <v/>
      </c>
      <c r="D90">
        <f>IFERROR(VLOOKUP(C90,PRODUCTS_NORM!$A:$B,2,FALSE),"")</f>
        <v/>
      </c>
      <c r="E90">
        <f>IFERROR(VLOOKUP(D90,REF_ProductByName!$A:$B,2,FALSE),"")</f>
        <v/>
      </c>
      <c r="F90">
        <f>IFERROR(VLOOKUP(C90,PRODUCTS_NORM!$A:$H,8,FALSE),"")</f>
        <v/>
      </c>
      <c r="G90">
        <f>IFERROR(VLOOKUP(F90,VM_NORM!$A:$C,3,FALSE),"")</f>
        <v/>
      </c>
      <c r="H90">
        <f>IFERROR(VLOOKUP(G90,REF_VMBySerial!$A:$B,2,FALSE),"")</f>
        <v/>
      </c>
      <c r="I90">
        <f>VALUE(SRC_Sales!C90)</f>
        <v/>
      </c>
      <c r="J90">
        <f>VALUE(SRC_Sales!D90)</f>
        <v/>
      </c>
      <c r="K90">
        <f>SRC_Sales!E90</f>
        <v/>
      </c>
      <c r="L90">
        <f>IFERROR(VLOOKUP(K90,MAP_Payment!$A:$B,2,FALSE),K90)</f>
        <v/>
      </c>
      <c r="M90">
        <f>IFERROR(VLOOKUP(L90,REF_SalePayment!$A:$B,2,FALSE),"")</f>
        <v/>
      </c>
    </row>
    <row r="91">
      <c r="A91">
        <f>SRC_Sales!A91</f>
        <v/>
      </c>
      <c r="B91" s="6">
        <f>DATEVALUE(LEFT(A91,10))+TIMEVALUE(MID(A91,12,8))</f>
        <v/>
      </c>
      <c r="C91">
        <f>SRC_Sales!B91</f>
        <v/>
      </c>
      <c r="D91">
        <f>IFERROR(VLOOKUP(C91,PRODUCTS_NORM!$A:$B,2,FALSE),"")</f>
        <v/>
      </c>
      <c r="E91">
        <f>IFERROR(VLOOKUP(D91,REF_ProductByName!$A:$B,2,FALSE),"")</f>
        <v/>
      </c>
      <c r="F91">
        <f>IFERROR(VLOOKUP(C91,PRODUCTS_NORM!$A:$H,8,FALSE),"")</f>
        <v/>
      </c>
      <c r="G91">
        <f>IFERROR(VLOOKUP(F91,VM_NORM!$A:$C,3,FALSE),"")</f>
        <v/>
      </c>
      <c r="H91">
        <f>IFERROR(VLOOKUP(G91,REF_VMBySerial!$A:$B,2,FALSE),"")</f>
        <v/>
      </c>
      <c r="I91">
        <f>VALUE(SRC_Sales!C91)</f>
        <v/>
      </c>
      <c r="J91">
        <f>VALUE(SRC_Sales!D91)</f>
        <v/>
      </c>
      <c r="K91">
        <f>SRC_Sales!E91</f>
        <v/>
      </c>
      <c r="L91">
        <f>IFERROR(VLOOKUP(K91,MAP_Payment!$A:$B,2,FALSE),K91)</f>
        <v/>
      </c>
      <c r="M91">
        <f>IFERROR(VLOOKUP(L91,REF_SalePayment!$A:$B,2,FALSE),"")</f>
        <v/>
      </c>
    </row>
    <row r="92">
      <c r="A92">
        <f>SRC_Sales!A92</f>
        <v/>
      </c>
      <c r="B92" s="6">
        <f>DATEVALUE(LEFT(A92,10))+TIMEVALUE(MID(A92,12,8))</f>
        <v/>
      </c>
      <c r="C92">
        <f>SRC_Sales!B92</f>
        <v/>
      </c>
      <c r="D92">
        <f>IFERROR(VLOOKUP(C92,PRODUCTS_NORM!$A:$B,2,FALSE),"")</f>
        <v/>
      </c>
      <c r="E92">
        <f>IFERROR(VLOOKUP(D92,REF_ProductByName!$A:$B,2,FALSE),"")</f>
        <v/>
      </c>
      <c r="F92">
        <f>IFERROR(VLOOKUP(C92,PRODUCTS_NORM!$A:$H,8,FALSE),"")</f>
        <v/>
      </c>
      <c r="G92">
        <f>IFERROR(VLOOKUP(F92,VM_NORM!$A:$C,3,FALSE),"")</f>
        <v/>
      </c>
      <c r="H92">
        <f>IFERROR(VLOOKUP(G92,REF_VMBySerial!$A:$B,2,FALSE),"")</f>
        <v/>
      </c>
      <c r="I92">
        <f>VALUE(SRC_Sales!C92)</f>
        <v/>
      </c>
      <c r="J92">
        <f>VALUE(SRC_Sales!D92)</f>
        <v/>
      </c>
      <c r="K92">
        <f>SRC_Sales!E92</f>
        <v/>
      </c>
      <c r="L92">
        <f>IFERROR(VLOOKUP(K92,MAP_Payment!$A:$B,2,FALSE),K92)</f>
        <v/>
      </c>
      <c r="M92">
        <f>IFERROR(VLOOKUP(L92,REF_SalePayment!$A:$B,2,FALSE),"")</f>
        <v/>
      </c>
    </row>
    <row r="93">
      <c r="A93">
        <f>SRC_Sales!A93</f>
        <v/>
      </c>
      <c r="B93" s="6">
        <f>DATEVALUE(LEFT(A93,10))+TIMEVALUE(MID(A93,12,8))</f>
        <v/>
      </c>
      <c r="C93">
        <f>SRC_Sales!B93</f>
        <v/>
      </c>
      <c r="D93">
        <f>IFERROR(VLOOKUP(C93,PRODUCTS_NORM!$A:$B,2,FALSE),"")</f>
        <v/>
      </c>
      <c r="E93">
        <f>IFERROR(VLOOKUP(D93,REF_ProductByName!$A:$B,2,FALSE),"")</f>
        <v/>
      </c>
      <c r="F93">
        <f>IFERROR(VLOOKUP(C93,PRODUCTS_NORM!$A:$H,8,FALSE),"")</f>
        <v/>
      </c>
      <c r="G93">
        <f>IFERROR(VLOOKUP(F93,VM_NORM!$A:$C,3,FALSE),"")</f>
        <v/>
      </c>
      <c r="H93">
        <f>IFERROR(VLOOKUP(G93,REF_VMBySerial!$A:$B,2,FALSE),"")</f>
        <v/>
      </c>
      <c r="I93">
        <f>VALUE(SRC_Sales!C93)</f>
        <v/>
      </c>
      <c r="J93">
        <f>VALUE(SRC_Sales!D93)</f>
        <v/>
      </c>
      <c r="K93">
        <f>SRC_Sales!E93</f>
        <v/>
      </c>
      <c r="L93">
        <f>IFERROR(VLOOKUP(K93,MAP_Payment!$A:$B,2,FALSE),K93)</f>
        <v/>
      </c>
      <c r="M93">
        <f>IFERROR(VLOOKUP(L93,REF_SalePayment!$A:$B,2,FALSE),"")</f>
        <v/>
      </c>
    </row>
    <row r="94">
      <c r="A94">
        <f>SRC_Sales!A94</f>
        <v/>
      </c>
      <c r="B94" s="6">
        <f>DATEVALUE(LEFT(A94,10))+TIMEVALUE(MID(A94,12,8))</f>
        <v/>
      </c>
      <c r="C94">
        <f>SRC_Sales!B94</f>
        <v/>
      </c>
      <c r="D94">
        <f>IFERROR(VLOOKUP(C94,PRODUCTS_NORM!$A:$B,2,FALSE),"")</f>
        <v/>
      </c>
      <c r="E94">
        <f>IFERROR(VLOOKUP(D94,REF_ProductByName!$A:$B,2,FALSE),"")</f>
        <v/>
      </c>
      <c r="F94">
        <f>IFERROR(VLOOKUP(C94,PRODUCTS_NORM!$A:$H,8,FALSE),"")</f>
        <v/>
      </c>
      <c r="G94">
        <f>IFERROR(VLOOKUP(F94,VM_NORM!$A:$C,3,FALSE),"")</f>
        <v/>
      </c>
      <c r="H94">
        <f>IFERROR(VLOOKUP(G94,REF_VMBySerial!$A:$B,2,FALSE),"")</f>
        <v/>
      </c>
      <c r="I94">
        <f>VALUE(SRC_Sales!C94)</f>
        <v/>
      </c>
      <c r="J94">
        <f>VALUE(SRC_Sales!D94)</f>
        <v/>
      </c>
      <c r="K94">
        <f>SRC_Sales!E94</f>
        <v/>
      </c>
      <c r="L94">
        <f>IFERROR(VLOOKUP(K94,MAP_Payment!$A:$B,2,FALSE),K94)</f>
        <v/>
      </c>
      <c r="M94">
        <f>IFERROR(VLOOKUP(L94,REF_SalePayment!$A:$B,2,FALSE),"")</f>
        <v/>
      </c>
    </row>
    <row r="95">
      <c r="A95">
        <f>SRC_Sales!A95</f>
        <v/>
      </c>
      <c r="B95" s="6">
        <f>DATEVALUE(LEFT(A95,10))+TIMEVALUE(MID(A95,12,8))</f>
        <v/>
      </c>
      <c r="C95">
        <f>SRC_Sales!B95</f>
        <v/>
      </c>
      <c r="D95">
        <f>IFERROR(VLOOKUP(C95,PRODUCTS_NORM!$A:$B,2,FALSE),"")</f>
        <v/>
      </c>
      <c r="E95">
        <f>IFERROR(VLOOKUP(D95,REF_ProductByName!$A:$B,2,FALSE),"")</f>
        <v/>
      </c>
      <c r="F95">
        <f>IFERROR(VLOOKUP(C95,PRODUCTS_NORM!$A:$H,8,FALSE),"")</f>
        <v/>
      </c>
      <c r="G95">
        <f>IFERROR(VLOOKUP(F95,VM_NORM!$A:$C,3,FALSE),"")</f>
        <v/>
      </c>
      <c r="H95">
        <f>IFERROR(VLOOKUP(G95,REF_VMBySerial!$A:$B,2,FALSE),"")</f>
        <v/>
      </c>
      <c r="I95">
        <f>VALUE(SRC_Sales!C95)</f>
        <v/>
      </c>
      <c r="J95">
        <f>VALUE(SRC_Sales!D95)</f>
        <v/>
      </c>
      <c r="K95">
        <f>SRC_Sales!E95</f>
        <v/>
      </c>
      <c r="L95">
        <f>IFERROR(VLOOKUP(K95,MAP_Payment!$A:$B,2,FALSE),K95)</f>
        <v/>
      </c>
      <c r="M95">
        <f>IFERROR(VLOOKUP(L95,REF_SalePayment!$A:$B,2,FALSE),"")</f>
        <v/>
      </c>
    </row>
    <row r="96">
      <c r="A96">
        <f>SRC_Sales!A96</f>
        <v/>
      </c>
      <c r="B96" s="6">
        <f>DATEVALUE(LEFT(A96,10))+TIMEVALUE(MID(A96,12,8))</f>
        <v/>
      </c>
      <c r="C96">
        <f>SRC_Sales!B96</f>
        <v/>
      </c>
      <c r="D96">
        <f>IFERROR(VLOOKUP(C96,PRODUCTS_NORM!$A:$B,2,FALSE),"")</f>
        <v/>
      </c>
      <c r="E96">
        <f>IFERROR(VLOOKUP(D96,REF_ProductByName!$A:$B,2,FALSE),"")</f>
        <v/>
      </c>
      <c r="F96">
        <f>IFERROR(VLOOKUP(C96,PRODUCTS_NORM!$A:$H,8,FALSE),"")</f>
        <v/>
      </c>
      <c r="G96">
        <f>IFERROR(VLOOKUP(F96,VM_NORM!$A:$C,3,FALSE),"")</f>
        <v/>
      </c>
      <c r="H96">
        <f>IFERROR(VLOOKUP(G96,REF_VMBySerial!$A:$B,2,FALSE),"")</f>
        <v/>
      </c>
      <c r="I96">
        <f>VALUE(SRC_Sales!C96)</f>
        <v/>
      </c>
      <c r="J96">
        <f>VALUE(SRC_Sales!D96)</f>
        <v/>
      </c>
      <c r="K96">
        <f>SRC_Sales!E96</f>
        <v/>
      </c>
      <c r="L96">
        <f>IFERROR(VLOOKUP(K96,MAP_Payment!$A:$B,2,FALSE),K96)</f>
        <v/>
      </c>
      <c r="M96">
        <f>IFERROR(VLOOKUP(L96,REF_SalePayment!$A:$B,2,FALSE),"")</f>
        <v/>
      </c>
    </row>
    <row r="97">
      <c r="A97">
        <f>SRC_Sales!A97</f>
        <v/>
      </c>
      <c r="B97" s="6">
        <f>DATEVALUE(LEFT(A97,10))+TIMEVALUE(MID(A97,12,8))</f>
        <v/>
      </c>
      <c r="C97">
        <f>SRC_Sales!B97</f>
        <v/>
      </c>
      <c r="D97">
        <f>IFERROR(VLOOKUP(C97,PRODUCTS_NORM!$A:$B,2,FALSE),"")</f>
        <v/>
      </c>
      <c r="E97">
        <f>IFERROR(VLOOKUP(D97,REF_ProductByName!$A:$B,2,FALSE),"")</f>
        <v/>
      </c>
      <c r="F97">
        <f>IFERROR(VLOOKUP(C97,PRODUCTS_NORM!$A:$H,8,FALSE),"")</f>
        <v/>
      </c>
      <c r="G97">
        <f>IFERROR(VLOOKUP(F97,VM_NORM!$A:$C,3,FALSE),"")</f>
        <v/>
      </c>
      <c r="H97">
        <f>IFERROR(VLOOKUP(G97,REF_VMBySerial!$A:$B,2,FALSE),"")</f>
        <v/>
      </c>
      <c r="I97">
        <f>VALUE(SRC_Sales!C97)</f>
        <v/>
      </c>
      <c r="J97">
        <f>VALUE(SRC_Sales!D97)</f>
        <v/>
      </c>
      <c r="K97">
        <f>SRC_Sales!E97</f>
        <v/>
      </c>
      <c r="L97">
        <f>IFERROR(VLOOKUP(K97,MAP_Payment!$A:$B,2,FALSE),K97)</f>
        <v/>
      </c>
      <c r="M97">
        <f>IFERROR(VLOOKUP(L97,REF_SalePayment!$A:$B,2,FALSE),"")</f>
        <v/>
      </c>
    </row>
    <row r="98">
      <c r="A98">
        <f>SRC_Sales!A98</f>
        <v/>
      </c>
      <c r="B98" s="6">
        <f>DATEVALUE(LEFT(A98,10))+TIMEVALUE(MID(A98,12,8))</f>
        <v/>
      </c>
      <c r="C98">
        <f>SRC_Sales!B98</f>
        <v/>
      </c>
      <c r="D98">
        <f>IFERROR(VLOOKUP(C98,PRODUCTS_NORM!$A:$B,2,FALSE),"")</f>
        <v/>
      </c>
      <c r="E98">
        <f>IFERROR(VLOOKUP(D98,REF_ProductByName!$A:$B,2,FALSE),"")</f>
        <v/>
      </c>
      <c r="F98">
        <f>IFERROR(VLOOKUP(C98,PRODUCTS_NORM!$A:$H,8,FALSE),"")</f>
        <v/>
      </c>
      <c r="G98">
        <f>IFERROR(VLOOKUP(F98,VM_NORM!$A:$C,3,FALSE),"")</f>
        <v/>
      </c>
      <c r="H98">
        <f>IFERROR(VLOOKUP(G98,REF_VMBySerial!$A:$B,2,FALSE),"")</f>
        <v/>
      </c>
      <c r="I98">
        <f>VALUE(SRC_Sales!C98)</f>
        <v/>
      </c>
      <c r="J98">
        <f>VALUE(SRC_Sales!D98)</f>
        <v/>
      </c>
      <c r="K98">
        <f>SRC_Sales!E98</f>
        <v/>
      </c>
      <c r="L98">
        <f>IFERROR(VLOOKUP(K98,MAP_Payment!$A:$B,2,FALSE),K98)</f>
        <v/>
      </c>
      <c r="M98">
        <f>IFERROR(VLOOKUP(L98,REF_SalePayment!$A:$B,2,FALSE),"")</f>
        <v/>
      </c>
    </row>
    <row r="99">
      <c r="A99">
        <f>SRC_Sales!A99</f>
        <v/>
      </c>
      <c r="B99" s="6">
        <f>DATEVALUE(LEFT(A99,10))+TIMEVALUE(MID(A99,12,8))</f>
        <v/>
      </c>
      <c r="C99">
        <f>SRC_Sales!B99</f>
        <v/>
      </c>
      <c r="D99">
        <f>IFERROR(VLOOKUP(C99,PRODUCTS_NORM!$A:$B,2,FALSE),"")</f>
        <v/>
      </c>
      <c r="E99">
        <f>IFERROR(VLOOKUP(D99,REF_ProductByName!$A:$B,2,FALSE),"")</f>
        <v/>
      </c>
      <c r="F99">
        <f>IFERROR(VLOOKUP(C99,PRODUCTS_NORM!$A:$H,8,FALSE),"")</f>
        <v/>
      </c>
      <c r="G99">
        <f>IFERROR(VLOOKUP(F99,VM_NORM!$A:$C,3,FALSE),"")</f>
        <v/>
      </c>
      <c r="H99">
        <f>IFERROR(VLOOKUP(G99,REF_VMBySerial!$A:$B,2,FALSE),"")</f>
        <v/>
      </c>
      <c r="I99">
        <f>VALUE(SRC_Sales!C99)</f>
        <v/>
      </c>
      <c r="J99">
        <f>VALUE(SRC_Sales!D99)</f>
        <v/>
      </c>
      <c r="K99">
        <f>SRC_Sales!E99</f>
        <v/>
      </c>
      <c r="L99">
        <f>IFERROR(VLOOKUP(K99,MAP_Payment!$A:$B,2,FALSE),K99)</f>
        <v/>
      </c>
      <c r="M99">
        <f>IFERROR(VLOOKUP(L99,REF_SalePayment!$A:$B,2,FALSE),"")</f>
        <v/>
      </c>
    </row>
    <row r="100">
      <c r="A100">
        <f>SRC_Sales!A100</f>
        <v/>
      </c>
      <c r="B100" s="6">
        <f>DATEVALUE(LEFT(A100,10))+TIMEVALUE(MID(A100,12,8))</f>
        <v/>
      </c>
      <c r="C100">
        <f>SRC_Sales!B100</f>
        <v/>
      </c>
      <c r="D100">
        <f>IFERROR(VLOOKUP(C100,PRODUCTS_NORM!$A:$B,2,FALSE),"")</f>
        <v/>
      </c>
      <c r="E100">
        <f>IFERROR(VLOOKUP(D100,REF_ProductByName!$A:$B,2,FALSE),"")</f>
        <v/>
      </c>
      <c r="F100">
        <f>IFERROR(VLOOKUP(C100,PRODUCTS_NORM!$A:$H,8,FALSE),"")</f>
        <v/>
      </c>
      <c r="G100">
        <f>IFERROR(VLOOKUP(F100,VM_NORM!$A:$C,3,FALSE),"")</f>
        <v/>
      </c>
      <c r="H100">
        <f>IFERROR(VLOOKUP(G100,REF_VMBySerial!$A:$B,2,FALSE),"")</f>
        <v/>
      </c>
      <c r="I100">
        <f>VALUE(SRC_Sales!C100)</f>
        <v/>
      </c>
      <c r="J100">
        <f>VALUE(SRC_Sales!D100)</f>
        <v/>
      </c>
      <c r="K100">
        <f>SRC_Sales!E100</f>
        <v/>
      </c>
      <c r="L100">
        <f>IFERROR(VLOOKUP(K100,MAP_Payment!$A:$B,2,FALSE),K100)</f>
        <v/>
      </c>
      <c r="M100">
        <f>IFERROR(VLOOKUP(L100,REF_SalePayment!$A:$B,2,FALSE),"")</f>
        <v/>
      </c>
    </row>
    <row r="101">
      <c r="A101">
        <f>SRC_Sales!A101</f>
        <v/>
      </c>
      <c r="B101" s="6">
        <f>DATEVALUE(LEFT(A101,10))+TIMEVALUE(MID(A101,12,8))</f>
        <v/>
      </c>
      <c r="C101">
        <f>SRC_Sales!B101</f>
        <v/>
      </c>
      <c r="D101">
        <f>IFERROR(VLOOKUP(C101,PRODUCTS_NORM!$A:$B,2,FALSE),"")</f>
        <v/>
      </c>
      <c r="E101">
        <f>IFERROR(VLOOKUP(D101,REF_ProductByName!$A:$B,2,FALSE),"")</f>
        <v/>
      </c>
      <c r="F101">
        <f>IFERROR(VLOOKUP(C101,PRODUCTS_NORM!$A:$H,8,FALSE),"")</f>
        <v/>
      </c>
      <c r="G101">
        <f>IFERROR(VLOOKUP(F101,VM_NORM!$A:$C,3,FALSE),"")</f>
        <v/>
      </c>
      <c r="H101">
        <f>IFERROR(VLOOKUP(G101,REF_VMBySerial!$A:$B,2,FALSE),"")</f>
        <v/>
      </c>
      <c r="I101">
        <f>VALUE(SRC_Sales!C101)</f>
        <v/>
      </c>
      <c r="J101">
        <f>VALUE(SRC_Sales!D101)</f>
        <v/>
      </c>
      <c r="K101">
        <f>SRC_Sales!E101</f>
        <v/>
      </c>
      <c r="L101">
        <f>IFERROR(VLOOKUP(K101,MAP_Payment!$A:$B,2,FALSE),K101)</f>
        <v/>
      </c>
      <c r="M101">
        <f>IFERROR(VLOOKUP(L101,REF_SalePayment!$A:$B,2,FALSE),"")</f>
        <v/>
      </c>
    </row>
  </sheetData>
  <autoFilter ref="A1:M1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48" customWidth="1" min="4" max="4"/>
    <col width="48" customWidth="1" min="5" max="5"/>
    <col width="18" customWidth="1" min="6" max="6"/>
    <col width="48" customWidth="1" min="7" max="7"/>
    <col width="17" customWidth="1" min="8" max="8"/>
    <col width="17" customWidth="1" min="9" max="9"/>
  </cols>
  <sheetData>
    <row r="1">
      <c r="A1" s="2" t="inlineStr">
        <is>
          <t>DateExcelRaw</t>
        </is>
      </c>
      <c r="B1" s="2" t="inlineStr">
        <is>
          <t>MaintenanceDate</t>
        </is>
      </c>
      <c r="C1" s="2" t="inlineStr">
        <is>
          <t>VmExternalId</t>
        </is>
      </c>
      <c r="D1" s="2" t="inlineStr">
        <is>
          <t>VmSerial</t>
        </is>
      </c>
      <c r="E1" s="2" t="inlineStr">
        <is>
          <t>VendingMachineId</t>
        </is>
      </c>
      <c r="F1" s="2" t="inlineStr">
        <is>
          <t>ExecutorFullName</t>
        </is>
      </c>
      <c r="G1" s="2" t="inlineStr">
        <is>
          <t>ExecutorUserAccountId</t>
        </is>
      </c>
      <c r="H1" s="2" t="inlineStr">
        <is>
          <t>Problems</t>
        </is>
      </c>
      <c r="I1" s="2" t="inlineStr">
        <is>
          <t>WorkDescription</t>
        </is>
      </c>
    </row>
    <row r="2">
      <c r="A2">
        <f>SRC_Maint!A2</f>
        <v/>
      </c>
      <c r="B2" s="4">
        <f>DATE(1899,12,30)+INT(A2)</f>
        <v/>
      </c>
      <c r="C2">
        <f>SRC_Maint!C2</f>
        <v/>
      </c>
      <c r="D2">
        <f>IFERROR(VLOOKUP(C2,VM_NORM!$A:$C,3,FALSE),"")</f>
        <v/>
      </c>
      <c r="E2">
        <f>IFERROR(VLOOKUP(D2,REF_VMBySerial!$A:$B,2,FALSE),"")</f>
        <v/>
      </c>
      <c r="F2">
        <f>SRC_Maint!D2</f>
        <v/>
      </c>
      <c r="G2">
        <f>IFERROR(VLOOKUP(F2,REF_UserByName!$A:$B,2,FALSE),"")</f>
        <v/>
      </c>
      <c r="H2">
        <f>SRC_Maint!B2</f>
        <v/>
      </c>
      <c r="I2">
        <f>SRC_Maint!E2</f>
        <v/>
      </c>
    </row>
    <row r="3">
      <c r="A3">
        <f>SRC_Maint!A3</f>
        <v/>
      </c>
      <c r="B3" s="4">
        <f>DATE(1899,12,30)+INT(A3)</f>
        <v/>
      </c>
      <c r="C3">
        <f>SRC_Maint!C3</f>
        <v/>
      </c>
      <c r="D3">
        <f>IFERROR(VLOOKUP(C3,VM_NORM!$A:$C,3,FALSE),"")</f>
        <v/>
      </c>
      <c r="E3">
        <f>IFERROR(VLOOKUP(D3,REF_VMBySerial!$A:$B,2,FALSE),"")</f>
        <v/>
      </c>
      <c r="F3">
        <f>SRC_Maint!D3</f>
        <v/>
      </c>
      <c r="G3">
        <f>IFERROR(VLOOKUP(F3,REF_UserByName!$A:$B,2,FALSE),"")</f>
        <v/>
      </c>
      <c r="H3">
        <f>SRC_Maint!B3</f>
        <v/>
      </c>
      <c r="I3">
        <f>SRC_Maint!E3</f>
        <v/>
      </c>
    </row>
    <row r="4">
      <c r="A4">
        <f>SRC_Maint!A4</f>
        <v/>
      </c>
      <c r="B4" s="4">
        <f>DATE(1899,12,30)+INT(A4)</f>
        <v/>
      </c>
      <c r="C4">
        <f>SRC_Maint!C4</f>
        <v/>
      </c>
      <c r="D4">
        <f>IFERROR(VLOOKUP(C4,VM_NORM!$A:$C,3,FALSE),"")</f>
        <v/>
      </c>
      <c r="E4">
        <f>IFERROR(VLOOKUP(D4,REF_VMBySerial!$A:$B,2,FALSE),"")</f>
        <v/>
      </c>
      <c r="F4">
        <f>SRC_Maint!D4</f>
        <v/>
      </c>
      <c r="G4">
        <f>IFERROR(VLOOKUP(F4,REF_UserByName!$A:$B,2,FALSE),"")</f>
        <v/>
      </c>
      <c r="H4">
        <f>SRC_Maint!B4</f>
        <v/>
      </c>
      <c r="I4">
        <f>SRC_Maint!E4</f>
        <v/>
      </c>
    </row>
    <row r="5">
      <c r="A5">
        <f>SRC_Maint!A5</f>
        <v/>
      </c>
      <c r="B5" s="4">
        <f>DATE(1899,12,30)+INT(A5)</f>
        <v/>
      </c>
      <c r="C5">
        <f>SRC_Maint!C5</f>
        <v/>
      </c>
      <c r="D5">
        <f>IFERROR(VLOOKUP(C5,VM_NORM!$A:$C,3,FALSE),"")</f>
        <v/>
      </c>
      <c r="E5">
        <f>IFERROR(VLOOKUP(D5,REF_VMBySerial!$A:$B,2,FALSE),"")</f>
        <v/>
      </c>
      <c r="F5">
        <f>SRC_Maint!D5</f>
        <v/>
      </c>
      <c r="G5">
        <f>IFERROR(VLOOKUP(F5,REF_UserByName!$A:$B,2,FALSE),"")</f>
        <v/>
      </c>
      <c r="H5">
        <f>SRC_Maint!B5</f>
        <v/>
      </c>
      <c r="I5">
        <f>SRC_Maint!E5</f>
        <v/>
      </c>
    </row>
    <row r="6">
      <c r="A6">
        <f>SRC_Maint!A6</f>
        <v/>
      </c>
      <c r="B6" s="4">
        <f>DATE(1899,12,30)+INT(A6)</f>
        <v/>
      </c>
      <c r="C6">
        <f>SRC_Maint!C6</f>
        <v/>
      </c>
      <c r="D6">
        <f>IFERROR(VLOOKUP(C6,VM_NORM!$A:$C,3,FALSE),"")</f>
        <v/>
      </c>
      <c r="E6">
        <f>IFERROR(VLOOKUP(D6,REF_VMBySerial!$A:$B,2,FALSE),"")</f>
        <v/>
      </c>
      <c r="F6">
        <f>SRC_Maint!D6</f>
        <v/>
      </c>
      <c r="G6">
        <f>IFERROR(VLOOKUP(F6,REF_UserByName!$A:$B,2,FALSE),"")</f>
        <v/>
      </c>
      <c r="H6">
        <f>SRC_Maint!B6</f>
        <v/>
      </c>
      <c r="I6">
        <f>SRC_Maint!E6</f>
        <v/>
      </c>
    </row>
    <row r="7">
      <c r="A7">
        <f>SRC_Maint!A7</f>
        <v/>
      </c>
      <c r="B7" s="4">
        <f>DATE(1899,12,30)+INT(A7)</f>
        <v/>
      </c>
      <c r="C7">
        <f>SRC_Maint!C7</f>
        <v/>
      </c>
      <c r="D7">
        <f>IFERROR(VLOOKUP(C7,VM_NORM!$A:$C,3,FALSE),"")</f>
        <v/>
      </c>
      <c r="E7">
        <f>IFERROR(VLOOKUP(D7,REF_VMBySerial!$A:$B,2,FALSE),"")</f>
        <v/>
      </c>
      <c r="F7">
        <f>SRC_Maint!D7</f>
        <v/>
      </c>
      <c r="G7">
        <f>IFERROR(VLOOKUP(F7,REF_UserByName!$A:$B,2,FALSE),"")</f>
        <v/>
      </c>
      <c r="H7">
        <f>SRC_Maint!B7</f>
        <v/>
      </c>
      <c r="I7">
        <f>SRC_Maint!E7</f>
        <v/>
      </c>
    </row>
    <row r="8">
      <c r="A8">
        <f>SRC_Maint!A8</f>
        <v/>
      </c>
      <c r="B8" s="4">
        <f>DATE(1899,12,30)+INT(A8)</f>
        <v/>
      </c>
      <c r="C8">
        <f>SRC_Maint!C8</f>
        <v/>
      </c>
      <c r="D8">
        <f>IFERROR(VLOOKUP(C8,VM_NORM!$A:$C,3,FALSE),"")</f>
        <v/>
      </c>
      <c r="E8">
        <f>IFERROR(VLOOKUP(D8,REF_VMBySerial!$A:$B,2,FALSE),"")</f>
        <v/>
      </c>
      <c r="F8">
        <f>SRC_Maint!D8</f>
        <v/>
      </c>
      <c r="G8">
        <f>IFERROR(VLOOKUP(F8,REF_UserByName!$A:$B,2,FALSE),"")</f>
        <v/>
      </c>
      <c r="H8">
        <f>SRC_Maint!B8</f>
        <v/>
      </c>
      <c r="I8">
        <f>SRC_Maint!E8</f>
        <v/>
      </c>
    </row>
    <row r="9">
      <c r="A9">
        <f>SRC_Maint!A9</f>
        <v/>
      </c>
      <c r="B9" s="4">
        <f>DATE(1899,12,30)+INT(A9)</f>
        <v/>
      </c>
      <c r="C9">
        <f>SRC_Maint!C9</f>
        <v/>
      </c>
      <c r="D9">
        <f>IFERROR(VLOOKUP(C9,VM_NORM!$A:$C,3,FALSE),"")</f>
        <v/>
      </c>
      <c r="E9">
        <f>IFERROR(VLOOKUP(D9,REF_VMBySerial!$A:$B,2,FALSE),"")</f>
        <v/>
      </c>
      <c r="F9">
        <f>SRC_Maint!D9</f>
        <v/>
      </c>
      <c r="G9">
        <f>IFERROR(VLOOKUP(F9,REF_UserByName!$A:$B,2,FALSE),"")</f>
        <v/>
      </c>
      <c r="H9">
        <f>SRC_Maint!B9</f>
        <v/>
      </c>
      <c r="I9">
        <f>SRC_Maint!E9</f>
        <v/>
      </c>
    </row>
    <row r="10">
      <c r="A10">
        <f>SRC_Maint!A10</f>
        <v/>
      </c>
      <c r="B10" s="4">
        <f>DATE(1899,12,30)+INT(A10)</f>
        <v/>
      </c>
      <c r="C10">
        <f>SRC_Maint!C10</f>
        <v/>
      </c>
      <c r="D10">
        <f>IFERROR(VLOOKUP(C10,VM_NORM!$A:$C,3,FALSE),"")</f>
        <v/>
      </c>
      <c r="E10">
        <f>IFERROR(VLOOKUP(D10,REF_VMBySerial!$A:$B,2,FALSE),"")</f>
        <v/>
      </c>
      <c r="F10">
        <f>SRC_Maint!D10</f>
        <v/>
      </c>
      <c r="G10">
        <f>IFERROR(VLOOKUP(F10,REF_UserByName!$A:$B,2,FALSE),"")</f>
        <v/>
      </c>
      <c r="H10">
        <f>SRC_Maint!B10</f>
        <v/>
      </c>
      <c r="I10">
        <f>SRC_Maint!E10</f>
        <v/>
      </c>
    </row>
    <row r="11">
      <c r="A11">
        <f>SRC_Maint!A11</f>
        <v/>
      </c>
      <c r="B11" s="4">
        <f>DATE(1899,12,30)+INT(A11)</f>
        <v/>
      </c>
      <c r="C11">
        <f>SRC_Maint!C11</f>
        <v/>
      </c>
      <c r="D11">
        <f>IFERROR(VLOOKUP(C11,VM_NORM!$A:$C,3,FALSE),"")</f>
        <v/>
      </c>
      <c r="E11">
        <f>IFERROR(VLOOKUP(D11,REF_VMBySerial!$A:$B,2,FALSE),"")</f>
        <v/>
      </c>
      <c r="F11">
        <f>SRC_Maint!D11</f>
        <v/>
      </c>
      <c r="G11">
        <f>IFERROR(VLOOKUP(F11,REF_UserByName!$A:$B,2,FALSE),"")</f>
        <v/>
      </c>
      <c r="H11">
        <f>SRC_Maint!B11</f>
        <v/>
      </c>
      <c r="I11">
        <f>SRC_Maint!E11</f>
        <v/>
      </c>
    </row>
    <row r="12">
      <c r="A12">
        <f>SRC_Maint!A12</f>
        <v/>
      </c>
      <c r="B12" s="4">
        <f>DATE(1899,12,30)+INT(A12)</f>
        <v/>
      </c>
      <c r="C12">
        <f>SRC_Maint!C12</f>
        <v/>
      </c>
      <c r="D12">
        <f>IFERROR(VLOOKUP(C12,VM_NORM!$A:$C,3,FALSE),"")</f>
        <v/>
      </c>
      <c r="E12">
        <f>IFERROR(VLOOKUP(D12,REF_VMBySerial!$A:$B,2,FALSE),"")</f>
        <v/>
      </c>
      <c r="F12">
        <f>SRC_Maint!D12</f>
        <v/>
      </c>
      <c r="G12">
        <f>IFERROR(VLOOKUP(F12,REF_UserByName!$A:$B,2,FALSE),"")</f>
        <v/>
      </c>
      <c r="H12">
        <f>SRC_Maint!B12</f>
        <v/>
      </c>
      <c r="I12">
        <f>SRC_Maint!E12</f>
        <v/>
      </c>
    </row>
    <row r="13">
      <c r="A13">
        <f>SRC_Maint!A13</f>
        <v/>
      </c>
      <c r="B13" s="4">
        <f>DATE(1899,12,30)+INT(A13)</f>
        <v/>
      </c>
      <c r="C13">
        <f>SRC_Maint!C13</f>
        <v/>
      </c>
      <c r="D13">
        <f>IFERROR(VLOOKUP(C13,VM_NORM!$A:$C,3,FALSE),"")</f>
        <v/>
      </c>
      <c r="E13">
        <f>IFERROR(VLOOKUP(D13,REF_VMBySerial!$A:$B,2,FALSE),"")</f>
        <v/>
      </c>
      <c r="F13">
        <f>SRC_Maint!D13</f>
        <v/>
      </c>
      <c r="G13">
        <f>IFERROR(VLOOKUP(F13,REF_UserByName!$A:$B,2,FALSE),"")</f>
        <v/>
      </c>
      <c r="H13">
        <f>SRC_Maint!B13</f>
        <v/>
      </c>
      <c r="I13">
        <f>SRC_Maint!E13</f>
        <v/>
      </c>
    </row>
    <row r="14">
      <c r="A14">
        <f>SRC_Maint!A14</f>
        <v/>
      </c>
      <c r="B14" s="4">
        <f>DATE(1899,12,30)+INT(A14)</f>
        <v/>
      </c>
      <c r="C14">
        <f>SRC_Maint!C14</f>
        <v/>
      </c>
      <c r="D14">
        <f>IFERROR(VLOOKUP(C14,VM_NORM!$A:$C,3,FALSE),"")</f>
        <v/>
      </c>
      <c r="E14">
        <f>IFERROR(VLOOKUP(D14,REF_VMBySerial!$A:$B,2,FALSE),"")</f>
        <v/>
      </c>
      <c r="F14">
        <f>SRC_Maint!D14</f>
        <v/>
      </c>
      <c r="G14">
        <f>IFERROR(VLOOKUP(F14,REF_UserByName!$A:$B,2,FALSE),"")</f>
        <v/>
      </c>
      <c r="H14">
        <f>SRC_Maint!B14</f>
        <v/>
      </c>
      <c r="I14">
        <f>SRC_Maint!E14</f>
        <v/>
      </c>
    </row>
    <row r="15">
      <c r="A15">
        <f>SRC_Maint!A15</f>
        <v/>
      </c>
      <c r="B15" s="4">
        <f>DATE(1899,12,30)+INT(A15)</f>
        <v/>
      </c>
      <c r="C15">
        <f>SRC_Maint!C15</f>
        <v/>
      </c>
      <c r="D15">
        <f>IFERROR(VLOOKUP(C15,VM_NORM!$A:$C,3,FALSE),"")</f>
        <v/>
      </c>
      <c r="E15">
        <f>IFERROR(VLOOKUP(D15,REF_VMBySerial!$A:$B,2,FALSE),"")</f>
        <v/>
      </c>
      <c r="F15">
        <f>SRC_Maint!D15</f>
        <v/>
      </c>
      <c r="G15">
        <f>IFERROR(VLOOKUP(F15,REF_UserByName!$A:$B,2,FALSE),"")</f>
        <v/>
      </c>
      <c r="H15">
        <f>SRC_Maint!B15</f>
        <v/>
      </c>
      <c r="I15">
        <f>SRC_Maint!E15</f>
        <v/>
      </c>
    </row>
    <row r="16">
      <c r="A16">
        <f>SRC_Maint!A16</f>
        <v/>
      </c>
      <c r="B16" s="4">
        <f>DATE(1899,12,30)+INT(A16)</f>
        <v/>
      </c>
      <c r="C16">
        <f>SRC_Maint!C16</f>
        <v/>
      </c>
      <c r="D16">
        <f>IFERROR(VLOOKUP(C16,VM_NORM!$A:$C,3,FALSE),"")</f>
        <v/>
      </c>
      <c r="E16">
        <f>IFERROR(VLOOKUP(D16,REF_VMBySerial!$A:$B,2,FALSE),"")</f>
        <v/>
      </c>
      <c r="F16">
        <f>SRC_Maint!D16</f>
        <v/>
      </c>
      <c r="G16">
        <f>IFERROR(VLOOKUP(F16,REF_UserByName!$A:$B,2,FALSE),"")</f>
        <v/>
      </c>
      <c r="H16">
        <f>SRC_Maint!B16</f>
        <v/>
      </c>
      <c r="I16">
        <f>SRC_Maint!E16</f>
        <v/>
      </c>
    </row>
    <row r="17">
      <c r="A17">
        <f>SRC_Maint!A17</f>
        <v/>
      </c>
      <c r="B17" s="4">
        <f>DATE(1899,12,30)+INT(A17)</f>
        <v/>
      </c>
      <c r="C17">
        <f>SRC_Maint!C17</f>
        <v/>
      </c>
      <c r="D17">
        <f>IFERROR(VLOOKUP(C17,VM_NORM!$A:$C,3,FALSE),"")</f>
        <v/>
      </c>
      <c r="E17">
        <f>IFERROR(VLOOKUP(D17,REF_VMBySerial!$A:$B,2,FALSE),"")</f>
        <v/>
      </c>
      <c r="F17">
        <f>SRC_Maint!D17</f>
        <v/>
      </c>
      <c r="G17">
        <f>IFERROR(VLOOKUP(F17,REF_UserByName!$A:$B,2,FALSE),"")</f>
        <v/>
      </c>
      <c r="H17">
        <f>SRC_Maint!B17</f>
        <v/>
      </c>
      <c r="I17">
        <f>SRC_Maint!E17</f>
        <v/>
      </c>
    </row>
    <row r="18">
      <c r="A18">
        <f>SRC_Maint!A18</f>
        <v/>
      </c>
      <c r="B18" s="4">
        <f>DATE(1899,12,30)+INT(A18)</f>
        <v/>
      </c>
      <c r="C18">
        <f>SRC_Maint!C18</f>
        <v/>
      </c>
      <c r="D18">
        <f>IFERROR(VLOOKUP(C18,VM_NORM!$A:$C,3,FALSE),"")</f>
        <v/>
      </c>
      <c r="E18">
        <f>IFERROR(VLOOKUP(D18,REF_VMBySerial!$A:$B,2,FALSE),"")</f>
        <v/>
      </c>
      <c r="F18">
        <f>SRC_Maint!D18</f>
        <v/>
      </c>
      <c r="G18">
        <f>IFERROR(VLOOKUP(F18,REF_UserByName!$A:$B,2,FALSE),"")</f>
        <v/>
      </c>
      <c r="H18">
        <f>SRC_Maint!B18</f>
        <v/>
      </c>
      <c r="I18">
        <f>SRC_Maint!E18</f>
        <v/>
      </c>
    </row>
    <row r="19">
      <c r="A19">
        <f>SRC_Maint!A19</f>
        <v/>
      </c>
      <c r="B19" s="4">
        <f>DATE(1899,12,30)+INT(A19)</f>
        <v/>
      </c>
      <c r="C19">
        <f>SRC_Maint!C19</f>
        <v/>
      </c>
      <c r="D19">
        <f>IFERROR(VLOOKUP(C19,VM_NORM!$A:$C,3,FALSE),"")</f>
        <v/>
      </c>
      <c r="E19">
        <f>IFERROR(VLOOKUP(D19,REF_VMBySerial!$A:$B,2,FALSE),"")</f>
        <v/>
      </c>
      <c r="F19">
        <f>SRC_Maint!D19</f>
        <v/>
      </c>
      <c r="G19">
        <f>IFERROR(VLOOKUP(F19,REF_UserByName!$A:$B,2,FALSE),"")</f>
        <v/>
      </c>
      <c r="H19">
        <f>SRC_Maint!B19</f>
        <v/>
      </c>
      <c r="I19">
        <f>SRC_Maint!E19</f>
        <v/>
      </c>
    </row>
    <row r="20">
      <c r="A20">
        <f>SRC_Maint!A20</f>
        <v/>
      </c>
      <c r="B20" s="4">
        <f>DATE(1899,12,30)+INT(A20)</f>
        <v/>
      </c>
      <c r="C20">
        <f>SRC_Maint!C20</f>
        <v/>
      </c>
      <c r="D20">
        <f>IFERROR(VLOOKUP(C20,VM_NORM!$A:$C,3,FALSE),"")</f>
        <v/>
      </c>
      <c r="E20">
        <f>IFERROR(VLOOKUP(D20,REF_VMBySerial!$A:$B,2,FALSE),"")</f>
        <v/>
      </c>
      <c r="F20">
        <f>SRC_Maint!D20</f>
        <v/>
      </c>
      <c r="G20">
        <f>IFERROR(VLOOKUP(F20,REF_UserByName!$A:$B,2,FALSE),"")</f>
        <v/>
      </c>
      <c r="H20">
        <f>SRC_Maint!B20</f>
        <v/>
      </c>
      <c r="I20">
        <f>SRC_Maint!E20</f>
        <v/>
      </c>
    </row>
    <row r="21">
      <c r="A21">
        <f>SRC_Maint!A21</f>
        <v/>
      </c>
      <c r="B21" s="4">
        <f>DATE(1899,12,30)+INT(A21)</f>
        <v/>
      </c>
      <c r="C21">
        <f>SRC_Maint!C21</f>
        <v/>
      </c>
      <c r="D21">
        <f>IFERROR(VLOOKUP(C21,VM_NORM!$A:$C,3,FALSE),"")</f>
        <v/>
      </c>
      <c r="E21">
        <f>IFERROR(VLOOKUP(D21,REF_VMBySerial!$A:$B,2,FALSE),"")</f>
        <v/>
      </c>
      <c r="F21">
        <f>SRC_Maint!D21</f>
        <v/>
      </c>
      <c r="G21">
        <f>IFERROR(VLOOKUP(F21,REF_UserByName!$A:$B,2,FALSE),"")</f>
        <v/>
      </c>
      <c r="H21">
        <f>SRC_Maint!B21</f>
        <v/>
      </c>
      <c r="I21">
        <f>SRC_Maint!E21</f>
        <v/>
      </c>
    </row>
    <row r="22">
      <c r="A22">
        <f>SRC_Maint!A22</f>
        <v/>
      </c>
      <c r="B22" s="4">
        <f>DATE(1899,12,30)+INT(A22)</f>
        <v/>
      </c>
      <c r="C22">
        <f>SRC_Maint!C22</f>
        <v/>
      </c>
      <c r="D22">
        <f>IFERROR(VLOOKUP(C22,VM_NORM!$A:$C,3,FALSE),"")</f>
        <v/>
      </c>
      <c r="E22">
        <f>IFERROR(VLOOKUP(D22,REF_VMBySerial!$A:$B,2,FALSE),"")</f>
        <v/>
      </c>
      <c r="F22">
        <f>SRC_Maint!D22</f>
        <v/>
      </c>
      <c r="G22">
        <f>IFERROR(VLOOKUP(F22,REF_UserByName!$A:$B,2,FALSE),"")</f>
        <v/>
      </c>
      <c r="H22">
        <f>SRC_Maint!B22</f>
        <v/>
      </c>
      <c r="I22">
        <f>SRC_Maint!E22</f>
        <v/>
      </c>
    </row>
    <row r="23">
      <c r="A23">
        <f>SRC_Maint!A23</f>
        <v/>
      </c>
      <c r="B23" s="4">
        <f>DATE(1899,12,30)+INT(A23)</f>
        <v/>
      </c>
      <c r="C23">
        <f>SRC_Maint!C23</f>
        <v/>
      </c>
      <c r="D23">
        <f>IFERROR(VLOOKUP(C23,VM_NORM!$A:$C,3,FALSE),"")</f>
        <v/>
      </c>
      <c r="E23">
        <f>IFERROR(VLOOKUP(D23,REF_VMBySerial!$A:$B,2,FALSE),"")</f>
        <v/>
      </c>
      <c r="F23">
        <f>SRC_Maint!D23</f>
        <v/>
      </c>
      <c r="G23">
        <f>IFERROR(VLOOKUP(F23,REF_UserByName!$A:$B,2,FALSE),"")</f>
        <v/>
      </c>
      <c r="H23">
        <f>SRC_Maint!B23</f>
        <v/>
      </c>
      <c r="I23">
        <f>SRC_Maint!E23</f>
        <v/>
      </c>
    </row>
    <row r="24">
      <c r="A24">
        <f>SRC_Maint!A24</f>
        <v/>
      </c>
      <c r="B24" s="4">
        <f>DATE(1899,12,30)+INT(A24)</f>
        <v/>
      </c>
      <c r="C24">
        <f>SRC_Maint!C24</f>
        <v/>
      </c>
      <c r="D24">
        <f>IFERROR(VLOOKUP(C24,VM_NORM!$A:$C,3,FALSE),"")</f>
        <v/>
      </c>
      <c r="E24">
        <f>IFERROR(VLOOKUP(D24,REF_VMBySerial!$A:$B,2,FALSE),"")</f>
        <v/>
      </c>
      <c r="F24">
        <f>SRC_Maint!D24</f>
        <v/>
      </c>
      <c r="G24">
        <f>IFERROR(VLOOKUP(F24,REF_UserByName!$A:$B,2,FALSE),"")</f>
        <v/>
      </c>
      <c r="H24">
        <f>SRC_Maint!B24</f>
        <v/>
      </c>
      <c r="I24">
        <f>SRC_Maint!E24</f>
        <v/>
      </c>
    </row>
    <row r="25">
      <c r="A25">
        <f>SRC_Maint!A25</f>
        <v/>
      </c>
      <c r="B25" s="4">
        <f>DATE(1899,12,30)+INT(A25)</f>
        <v/>
      </c>
      <c r="C25">
        <f>SRC_Maint!C25</f>
        <v/>
      </c>
      <c r="D25">
        <f>IFERROR(VLOOKUP(C25,VM_NORM!$A:$C,3,FALSE),"")</f>
        <v/>
      </c>
      <c r="E25">
        <f>IFERROR(VLOOKUP(D25,REF_VMBySerial!$A:$B,2,FALSE),"")</f>
        <v/>
      </c>
      <c r="F25">
        <f>SRC_Maint!D25</f>
        <v/>
      </c>
      <c r="G25">
        <f>IFERROR(VLOOKUP(F25,REF_UserByName!$A:$B,2,FALSE),"")</f>
        <v/>
      </c>
      <c r="H25">
        <f>SRC_Maint!B25</f>
        <v/>
      </c>
      <c r="I25">
        <f>SRC_Maint!E25</f>
        <v/>
      </c>
    </row>
    <row r="26">
      <c r="A26">
        <f>SRC_Maint!A26</f>
        <v/>
      </c>
      <c r="B26" s="4">
        <f>DATE(1899,12,30)+INT(A26)</f>
        <v/>
      </c>
      <c r="C26">
        <f>SRC_Maint!C26</f>
        <v/>
      </c>
      <c r="D26">
        <f>IFERROR(VLOOKUP(C26,VM_NORM!$A:$C,3,FALSE),"")</f>
        <v/>
      </c>
      <c r="E26">
        <f>IFERROR(VLOOKUP(D26,REF_VMBySerial!$A:$B,2,FALSE),"")</f>
        <v/>
      </c>
      <c r="F26">
        <f>SRC_Maint!D26</f>
        <v/>
      </c>
      <c r="G26">
        <f>IFERROR(VLOOKUP(F26,REF_UserByName!$A:$B,2,FALSE),"")</f>
        <v/>
      </c>
      <c r="H26">
        <f>SRC_Maint!B26</f>
        <v/>
      </c>
      <c r="I26">
        <f>SRC_Maint!E26</f>
        <v/>
      </c>
    </row>
    <row r="27">
      <c r="A27">
        <f>SRC_Maint!A27</f>
        <v/>
      </c>
      <c r="B27" s="4">
        <f>DATE(1899,12,30)+INT(A27)</f>
        <v/>
      </c>
      <c r="C27">
        <f>SRC_Maint!C27</f>
        <v/>
      </c>
      <c r="D27">
        <f>IFERROR(VLOOKUP(C27,VM_NORM!$A:$C,3,FALSE),"")</f>
        <v/>
      </c>
      <c r="E27">
        <f>IFERROR(VLOOKUP(D27,REF_VMBySerial!$A:$B,2,FALSE),"")</f>
        <v/>
      </c>
      <c r="F27">
        <f>SRC_Maint!D27</f>
        <v/>
      </c>
      <c r="G27">
        <f>IFERROR(VLOOKUP(F27,REF_UserByName!$A:$B,2,FALSE),"")</f>
        <v/>
      </c>
      <c r="H27">
        <f>SRC_Maint!B27</f>
        <v/>
      </c>
      <c r="I27">
        <f>SRC_Maint!E27</f>
        <v/>
      </c>
    </row>
    <row r="28">
      <c r="A28">
        <f>SRC_Maint!A28</f>
        <v/>
      </c>
      <c r="B28" s="4">
        <f>DATE(1899,12,30)+INT(A28)</f>
        <v/>
      </c>
      <c r="C28">
        <f>SRC_Maint!C28</f>
        <v/>
      </c>
      <c r="D28">
        <f>IFERROR(VLOOKUP(C28,VM_NORM!$A:$C,3,FALSE),"")</f>
        <v/>
      </c>
      <c r="E28">
        <f>IFERROR(VLOOKUP(D28,REF_VMBySerial!$A:$B,2,FALSE),"")</f>
        <v/>
      </c>
      <c r="F28">
        <f>SRC_Maint!D28</f>
        <v/>
      </c>
      <c r="G28">
        <f>IFERROR(VLOOKUP(F28,REF_UserByName!$A:$B,2,FALSE),"")</f>
        <v/>
      </c>
      <c r="H28">
        <f>SRC_Maint!B28</f>
        <v/>
      </c>
      <c r="I28">
        <f>SRC_Maint!E28</f>
        <v/>
      </c>
    </row>
    <row r="29">
      <c r="A29">
        <f>SRC_Maint!A29</f>
        <v/>
      </c>
      <c r="B29" s="4">
        <f>DATE(1899,12,30)+INT(A29)</f>
        <v/>
      </c>
      <c r="C29">
        <f>SRC_Maint!C29</f>
        <v/>
      </c>
      <c r="D29">
        <f>IFERROR(VLOOKUP(C29,VM_NORM!$A:$C,3,FALSE),"")</f>
        <v/>
      </c>
      <c r="E29">
        <f>IFERROR(VLOOKUP(D29,REF_VMBySerial!$A:$B,2,FALSE),"")</f>
        <v/>
      </c>
      <c r="F29">
        <f>SRC_Maint!D29</f>
        <v/>
      </c>
      <c r="G29">
        <f>IFERROR(VLOOKUP(F29,REF_UserByName!$A:$B,2,FALSE),"")</f>
        <v/>
      </c>
      <c r="H29">
        <f>SRC_Maint!B29</f>
        <v/>
      </c>
      <c r="I29">
        <f>SRC_Maint!E29</f>
        <v/>
      </c>
    </row>
    <row r="30">
      <c r="A30">
        <f>SRC_Maint!A30</f>
        <v/>
      </c>
      <c r="B30" s="4">
        <f>DATE(1899,12,30)+INT(A30)</f>
        <v/>
      </c>
      <c r="C30">
        <f>SRC_Maint!C30</f>
        <v/>
      </c>
      <c r="D30">
        <f>IFERROR(VLOOKUP(C30,VM_NORM!$A:$C,3,FALSE),"")</f>
        <v/>
      </c>
      <c r="E30">
        <f>IFERROR(VLOOKUP(D30,REF_VMBySerial!$A:$B,2,FALSE),"")</f>
        <v/>
      </c>
      <c r="F30">
        <f>SRC_Maint!D30</f>
        <v/>
      </c>
      <c r="G30">
        <f>IFERROR(VLOOKUP(F30,REF_UserByName!$A:$B,2,FALSE),"")</f>
        <v/>
      </c>
      <c r="H30">
        <f>SRC_Maint!B30</f>
        <v/>
      </c>
      <c r="I30">
        <f>SRC_Maint!E30</f>
        <v/>
      </c>
    </row>
    <row r="31">
      <c r="A31">
        <f>SRC_Maint!A31</f>
        <v/>
      </c>
      <c r="B31" s="4">
        <f>DATE(1899,12,30)+INT(A31)</f>
        <v/>
      </c>
      <c r="C31">
        <f>SRC_Maint!C31</f>
        <v/>
      </c>
      <c r="D31">
        <f>IFERROR(VLOOKUP(C31,VM_NORM!$A:$C,3,FALSE),"")</f>
        <v/>
      </c>
      <c r="E31">
        <f>IFERROR(VLOOKUP(D31,REF_VMBySerial!$A:$B,2,FALSE),"")</f>
        <v/>
      </c>
      <c r="F31">
        <f>SRC_Maint!D31</f>
        <v/>
      </c>
      <c r="G31">
        <f>IFERROR(VLOOKUP(F31,REF_UserByName!$A:$B,2,FALSE),"")</f>
        <v/>
      </c>
      <c r="H31">
        <f>SRC_Maint!B31</f>
        <v/>
      </c>
      <c r="I31">
        <f>SRC_Maint!E31</f>
        <v/>
      </c>
    </row>
    <row r="32">
      <c r="A32">
        <f>SRC_Maint!A32</f>
        <v/>
      </c>
      <c r="B32" s="4">
        <f>DATE(1899,12,30)+INT(A32)</f>
        <v/>
      </c>
      <c r="C32">
        <f>SRC_Maint!C32</f>
        <v/>
      </c>
      <c r="D32">
        <f>IFERROR(VLOOKUP(C32,VM_NORM!$A:$C,3,FALSE),"")</f>
        <v/>
      </c>
      <c r="E32">
        <f>IFERROR(VLOOKUP(D32,REF_VMBySerial!$A:$B,2,FALSE),"")</f>
        <v/>
      </c>
      <c r="F32">
        <f>SRC_Maint!D32</f>
        <v/>
      </c>
      <c r="G32">
        <f>IFERROR(VLOOKUP(F32,REF_UserByName!$A:$B,2,FALSE),"")</f>
        <v/>
      </c>
      <c r="H32">
        <f>SRC_Maint!B32</f>
        <v/>
      </c>
      <c r="I32">
        <f>SRC_Maint!E32</f>
        <v/>
      </c>
    </row>
    <row r="33">
      <c r="A33">
        <f>SRC_Maint!A33</f>
        <v/>
      </c>
      <c r="B33" s="4">
        <f>DATE(1899,12,30)+INT(A33)</f>
        <v/>
      </c>
      <c r="C33">
        <f>SRC_Maint!C33</f>
        <v/>
      </c>
      <c r="D33">
        <f>IFERROR(VLOOKUP(C33,VM_NORM!$A:$C,3,FALSE),"")</f>
        <v/>
      </c>
      <c r="E33">
        <f>IFERROR(VLOOKUP(D33,REF_VMBySerial!$A:$B,2,FALSE),"")</f>
        <v/>
      </c>
      <c r="F33">
        <f>SRC_Maint!D33</f>
        <v/>
      </c>
      <c r="G33">
        <f>IFERROR(VLOOKUP(F33,REF_UserByName!$A:$B,2,FALSE),"")</f>
        <v/>
      </c>
      <c r="H33">
        <f>SRC_Maint!B33</f>
        <v/>
      </c>
      <c r="I33">
        <f>SRC_Maint!E33</f>
        <v/>
      </c>
    </row>
    <row r="34">
      <c r="A34">
        <f>SRC_Maint!A34</f>
        <v/>
      </c>
      <c r="B34" s="4">
        <f>DATE(1899,12,30)+INT(A34)</f>
        <v/>
      </c>
      <c r="C34">
        <f>SRC_Maint!C34</f>
        <v/>
      </c>
      <c r="D34">
        <f>IFERROR(VLOOKUP(C34,VM_NORM!$A:$C,3,FALSE),"")</f>
        <v/>
      </c>
      <c r="E34">
        <f>IFERROR(VLOOKUP(D34,REF_VMBySerial!$A:$B,2,FALSE),"")</f>
        <v/>
      </c>
      <c r="F34">
        <f>SRC_Maint!D34</f>
        <v/>
      </c>
      <c r="G34">
        <f>IFERROR(VLOOKUP(F34,REF_UserByName!$A:$B,2,FALSE),"")</f>
        <v/>
      </c>
      <c r="H34">
        <f>SRC_Maint!B34</f>
        <v/>
      </c>
      <c r="I34">
        <f>SRC_Maint!E34</f>
        <v/>
      </c>
    </row>
    <row r="35">
      <c r="A35">
        <f>SRC_Maint!A35</f>
        <v/>
      </c>
      <c r="B35" s="4">
        <f>DATE(1899,12,30)+INT(A35)</f>
        <v/>
      </c>
      <c r="C35">
        <f>SRC_Maint!C35</f>
        <v/>
      </c>
      <c r="D35">
        <f>IFERROR(VLOOKUP(C35,VM_NORM!$A:$C,3,FALSE),"")</f>
        <v/>
      </c>
      <c r="E35">
        <f>IFERROR(VLOOKUP(D35,REF_VMBySerial!$A:$B,2,FALSE),"")</f>
        <v/>
      </c>
      <c r="F35">
        <f>SRC_Maint!D35</f>
        <v/>
      </c>
      <c r="G35">
        <f>IFERROR(VLOOKUP(F35,REF_UserByName!$A:$B,2,FALSE),"")</f>
        <v/>
      </c>
      <c r="H35">
        <f>SRC_Maint!B35</f>
        <v/>
      </c>
      <c r="I35">
        <f>SRC_Maint!E35</f>
        <v/>
      </c>
    </row>
    <row r="36">
      <c r="A36">
        <f>SRC_Maint!A36</f>
        <v/>
      </c>
      <c r="B36" s="4">
        <f>DATE(1899,12,30)+INT(A36)</f>
        <v/>
      </c>
      <c r="C36">
        <f>SRC_Maint!C36</f>
        <v/>
      </c>
      <c r="D36">
        <f>IFERROR(VLOOKUP(C36,VM_NORM!$A:$C,3,FALSE),"")</f>
        <v/>
      </c>
      <c r="E36">
        <f>IFERROR(VLOOKUP(D36,REF_VMBySerial!$A:$B,2,FALSE),"")</f>
        <v/>
      </c>
      <c r="F36">
        <f>SRC_Maint!D36</f>
        <v/>
      </c>
      <c r="G36">
        <f>IFERROR(VLOOKUP(F36,REF_UserByName!$A:$B,2,FALSE),"")</f>
        <v/>
      </c>
      <c r="H36">
        <f>SRC_Maint!B36</f>
        <v/>
      </c>
      <c r="I36">
        <f>SRC_Maint!E36</f>
        <v/>
      </c>
    </row>
    <row r="37">
      <c r="A37">
        <f>SRC_Maint!A37</f>
        <v/>
      </c>
      <c r="B37" s="4">
        <f>DATE(1899,12,30)+INT(A37)</f>
        <v/>
      </c>
      <c r="C37">
        <f>SRC_Maint!C37</f>
        <v/>
      </c>
      <c r="D37">
        <f>IFERROR(VLOOKUP(C37,VM_NORM!$A:$C,3,FALSE),"")</f>
        <v/>
      </c>
      <c r="E37">
        <f>IFERROR(VLOOKUP(D37,REF_VMBySerial!$A:$B,2,FALSE),"")</f>
        <v/>
      </c>
      <c r="F37">
        <f>SRC_Maint!D37</f>
        <v/>
      </c>
      <c r="G37">
        <f>IFERROR(VLOOKUP(F37,REF_UserByName!$A:$B,2,FALSE),"")</f>
        <v/>
      </c>
      <c r="H37">
        <f>SRC_Maint!B37</f>
        <v/>
      </c>
      <c r="I37">
        <f>SRC_Maint!E37</f>
        <v/>
      </c>
    </row>
    <row r="38">
      <c r="A38">
        <f>SRC_Maint!A38</f>
        <v/>
      </c>
      <c r="B38" s="4">
        <f>DATE(1899,12,30)+INT(A38)</f>
        <v/>
      </c>
      <c r="C38">
        <f>SRC_Maint!C38</f>
        <v/>
      </c>
      <c r="D38">
        <f>IFERROR(VLOOKUP(C38,VM_NORM!$A:$C,3,FALSE),"")</f>
        <v/>
      </c>
      <c r="E38">
        <f>IFERROR(VLOOKUP(D38,REF_VMBySerial!$A:$B,2,FALSE),"")</f>
        <v/>
      </c>
      <c r="F38">
        <f>SRC_Maint!D38</f>
        <v/>
      </c>
      <c r="G38">
        <f>IFERROR(VLOOKUP(F38,REF_UserByName!$A:$B,2,FALSE),"")</f>
        <v/>
      </c>
      <c r="H38">
        <f>SRC_Maint!B38</f>
        <v/>
      </c>
      <c r="I38">
        <f>SRC_Maint!E38</f>
        <v/>
      </c>
    </row>
    <row r="39">
      <c r="A39">
        <f>SRC_Maint!A39</f>
        <v/>
      </c>
      <c r="B39" s="4">
        <f>DATE(1899,12,30)+INT(A39)</f>
        <v/>
      </c>
      <c r="C39">
        <f>SRC_Maint!C39</f>
        <v/>
      </c>
      <c r="D39">
        <f>IFERROR(VLOOKUP(C39,VM_NORM!$A:$C,3,FALSE),"")</f>
        <v/>
      </c>
      <c r="E39">
        <f>IFERROR(VLOOKUP(D39,REF_VMBySerial!$A:$B,2,FALSE),"")</f>
        <v/>
      </c>
      <c r="F39">
        <f>SRC_Maint!D39</f>
        <v/>
      </c>
      <c r="G39">
        <f>IFERROR(VLOOKUP(F39,REF_UserByName!$A:$B,2,FALSE),"")</f>
        <v/>
      </c>
      <c r="H39">
        <f>SRC_Maint!B39</f>
        <v/>
      </c>
      <c r="I39">
        <f>SRC_Maint!E39</f>
        <v/>
      </c>
    </row>
    <row r="40">
      <c r="A40">
        <f>SRC_Maint!A40</f>
        <v/>
      </c>
      <c r="B40" s="4">
        <f>DATE(1899,12,30)+INT(A40)</f>
        <v/>
      </c>
      <c r="C40">
        <f>SRC_Maint!C40</f>
        <v/>
      </c>
      <c r="D40">
        <f>IFERROR(VLOOKUP(C40,VM_NORM!$A:$C,3,FALSE),"")</f>
        <v/>
      </c>
      <c r="E40">
        <f>IFERROR(VLOOKUP(D40,REF_VMBySerial!$A:$B,2,FALSE),"")</f>
        <v/>
      </c>
      <c r="F40">
        <f>SRC_Maint!D40</f>
        <v/>
      </c>
      <c r="G40">
        <f>IFERROR(VLOOKUP(F40,REF_UserByName!$A:$B,2,FALSE),"")</f>
        <v/>
      </c>
      <c r="H40">
        <f>SRC_Maint!B40</f>
        <v/>
      </c>
      <c r="I40">
        <f>SRC_Maint!E40</f>
        <v/>
      </c>
    </row>
    <row r="41">
      <c r="A41">
        <f>SRC_Maint!A41</f>
        <v/>
      </c>
      <c r="B41" s="4">
        <f>DATE(1899,12,30)+INT(A41)</f>
        <v/>
      </c>
      <c r="C41">
        <f>SRC_Maint!C41</f>
        <v/>
      </c>
      <c r="D41">
        <f>IFERROR(VLOOKUP(C41,VM_NORM!$A:$C,3,FALSE),"")</f>
        <v/>
      </c>
      <c r="E41">
        <f>IFERROR(VLOOKUP(D41,REF_VMBySerial!$A:$B,2,FALSE),"")</f>
        <v/>
      </c>
      <c r="F41">
        <f>SRC_Maint!D41</f>
        <v/>
      </c>
      <c r="G41">
        <f>IFERROR(VLOOKUP(F41,REF_UserByName!$A:$B,2,FALSE),"")</f>
        <v/>
      </c>
      <c r="H41">
        <f>SRC_Maint!B41</f>
        <v/>
      </c>
      <c r="I41">
        <f>SRC_Maint!E41</f>
        <v/>
      </c>
    </row>
    <row r="42">
      <c r="A42">
        <f>SRC_Maint!A42</f>
        <v/>
      </c>
      <c r="B42" s="4">
        <f>DATE(1899,12,30)+INT(A42)</f>
        <v/>
      </c>
      <c r="C42">
        <f>SRC_Maint!C42</f>
        <v/>
      </c>
      <c r="D42">
        <f>IFERROR(VLOOKUP(C42,VM_NORM!$A:$C,3,FALSE),"")</f>
        <v/>
      </c>
      <c r="E42">
        <f>IFERROR(VLOOKUP(D42,REF_VMBySerial!$A:$B,2,FALSE),"")</f>
        <v/>
      </c>
      <c r="F42">
        <f>SRC_Maint!D42</f>
        <v/>
      </c>
      <c r="G42">
        <f>IFERROR(VLOOKUP(F42,REF_UserByName!$A:$B,2,FALSE),"")</f>
        <v/>
      </c>
      <c r="H42">
        <f>SRC_Maint!B42</f>
        <v/>
      </c>
      <c r="I42">
        <f>SRC_Maint!E42</f>
        <v/>
      </c>
    </row>
    <row r="43">
      <c r="A43">
        <f>SRC_Maint!A43</f>
        <v/>
      </c>
      <c r="B43" s="4">
        <f>DATE(1899,12,30)+INT(A43)</f>
        <v/>
      </c>
      <c r="C43">
        <f>SRC_Maint!C43</f>
        <v/>
      </c>
      <c r="D43">
        <f>IFERROR(VLOOKUP(C43,VM_NORM!$A:$C,3,FALSE),"")</f>
        <v/>
      </c>
      <c r="E43">
        <f>IFERROR(VLOOKUP(D43,REF_VMBySerial!$A:$B,2,FALSE),"")</f>
        <v/>
      </c>
      <c r="F43">
        <f>SRC_Maint!D43</f>
        <v/>
      </c>
      <c r="G43">
        <f>IFERROR(VLOOKUP(F43,REF_UserByName!$A:$B,2,FALSE),"")</f>
        <v/>
      </c>
      <c r="H43">
        <f>SRC_Maint!B43</f>
        <v/>
      </c>
      <c r="I43">
        <f>SRC_Maint!E43</f>
        <v/>
      </c>
    </row>
    <row r="44">
      <c r="A44">
        <f>SRC_Maint!A44</f>
        <v/>
      </c>
      <c r="B44" s="4">
        <f>DATE(1899,12,30)+INT(A44)</f>
        <v/>
      </c>
      <c r="C44">
        <f>SRC_Maint!C44</f>
        <v/>
      </c>
      <c r="D44">
        <f>IFERROR(VLOOKUP(C44,VM_NORM!$A:$C,3,FALSE),"")</f>
        <v/>
      </c>
      <c r="E44">
        <f>IFERROR(VLOOKUP(D44,REF_VMBySerial!$A:$B,2,FALSE),"")</f>
        <v/>
      </c>
      <c r="F44">
        <f>SRC_Maint!D44</f>
        <v/>
      </c>
      <c r="G44">
        <f>IFERROR(VLOOKUP(F44,REF_UserByName!$A:$B,2,FALSE),"")</f>
        <v/>
      </c>
      <c r="H44">
        <f>SRC_Maint!B44</f>
        <v/>
      </c>
      <c r="I44">
        <f>SRC_Maint!E44</f>
        <v/>
      </c>
    </row>
    <row r="45">
      <c r="A45">
        <f>SRC_Maint!A45</f>
        <v/>
      </c>
      <c r="B45" s="4">
        <f>DATE(1899,12,30)+INT(A45)</f>
        <v/>
      </c>
      <c r="C45">
        <f>SRC_Maint!C45</f>
        <v/>
      </c>
      <c r="D45">
        <f>IFERROR(VLOOKUP(C45,VM_NORM!$A:$C,3,FALSE),"")</f>
        <v/>
      </c>
      <c r="E45">
        <f>IFERROR(VLOOKUP(D45,REF_VMBySerial!$A:$B,2,FALSE),"")</f>
        <v/>
      </c>
      <c r="F45">
        <f>SRC_Maint!D45</f>
        <v/>
      </c>
      <c r="G45">
        <f>IFERROR(VLOOKUP(F45,REF_UserByName!$A:$B,2,FALSE),"")</f>
        <v/>
      </c>
      <c r="H45">
        <f>SRC_Maint!B45</f>
        <v/>
      </c>
      <c r="I45">
        <f>SRC_Maint!E45</f>
        <v/>
      </c>
    </row>
    <row r="46">
      <c r="A46">
        <f>SRC_Maint!A46</f>
        <v/>
      </c>
      <c r="B46" s="4">
        <f>DATE(1899,12,30)+INT(A46)</f>
        <v/>
      </c>
      <c r="C46">
        <f>SRC_Maint!C46</f>
        <v/>
      </c>
      <c r="D46">
        <f>IFERROR(VLOOKUP(C46,VM_NORM!$A:$C,3,FALSE),"")</f>
        <v/>
      </c>
      <c r="E46">
        <f>IFERROR(VLOOKUP(D46,REF_VMBySerial!$A:$B,2,FALSE),"")</f>
        <v/>
      </c>
      <c r="F46">
        <f>SRC_Maint!D46</f>
        <v/>
      </c>
      <c r="G46">
        <f>IFERROR(VLOOKUP(F46,REF_UserByName!$A:$B,2,FALSE),"")</f>
        <v/>
      </c>
      <c r="H46">
        <f>SRC_Maint!B46</f>
        <v/>
      </c>
      <c r="I46">
        <f>SRC_Maint!E46</f>
        <v/>
      </c>
    </row>
    <row r="47">
      <c r="A47">
        <f>SRC_Maint!A47</f>
        <v/>
      </c>
      <c r="B47" s="4">
        <f>DATE(1899,12,30)+INT(A47)</f>
        <v/>
      </c>
      <c r="C47">
        <f>SRC_Maint!C47</f>
        <v/>
      </c>
      <c r="D47">
        <f>IFERROR(VLOOKUP(C47,VM_NORM!$A:$C,3,FALSE),"")</f>
        <v/>
      </c>
      <c r="E47">
        <f>IFERROR(VLOOKUP(D47,REF_VMBySerial!$A:$B,2,FALSE),"")</f>
        <v/>
      </c>
      <c r="F47">
        <f>SRC_Maint!D47</f>
        <v/>
      </c>
      <c r="G47">
        <f>IFERROR(VLOOKUP(F47,REF_UserByName!$A:$B,2,FALSE),"")</f>
        <v/>
      </c>
      <c r="H47">
        <f>SRC_Maint!B47</f>
        <v/>
      </c>
      <c r="I47">
        <f>SRC_Maint!E47</f>
        <v/>
      </c>
    </row>
    <row r="48">
      <c r="A48">
        <f>SRC_Maint!A48</f>
        <v/>
      </c>
      <c r="B48" s="4">
        <f>DATE(1899,12,30)+INT(A48)</f>
        <v/>
      </c>
      <c r="C48">
        <f>SRC_Maint!C48</f>
        <v/>
      </c>
      <c r="D48">
        <f>IFERROR(VLOOKUP(C48,VM_NORM!$A:$C,3,FALSE),"")</f>
        <v/>
      </c>
      <c r="E48">
        <f>IFERROR(VLOOKUP(D48,REF_VMBySerial!$A:$B,2,FALSE),"")</f>
        <v/>
      </c>
      <c r="F48">
        <f>SRC_Maint!D48</f>
        <v/>
      </c>
      <c r="G48">
        <f>IFERROR(VLOOKUP(F48,REF_UserByName!$A:$B,2,FALSE),"")</f>
        <v/>
      </c>
      <c r="H48">
        <f>SRC_Maint!B48</f>
        <v/>
      </c>
      <c r="I48">
        <f>SRC_Maint!E48</f>
        <v/>
      </c>
    </row>
    <row r="49">
      <c r="A49">
        <f>SRC_Maint!A49</f>
        <v/>
      </c>
      <c r="B49" s="4">
        <f>DATE(1899,12,30)+INT(A49)</f>
        <v/>
      </c>
      <c r="C49">
        <f>SRC_Maint!C49</f>
        <v/>
      </c>
      <c r="D49">
        <f>IFERROR(VLOOKUP(C49,VM_NORM!$A:$C,3,FALSE),"")</f>
        <v/>
      </c>
      <c r="E49">
        <f>IFERROR(VLOOKUP(D49,REF_VMBySerial!$A:$B,2,FALSE),"")</f>
        <v/>
      </c>
      <c r="F49">
        <f>SRC_Maint!D49</f>
        <v/>
      </c>
      <c r="G49">
        <f>IFERROR(VLOOKUP(F49,REF_UserByName!$A:$B,2,FALSE),"")</f>
        <v/>
      </c>
      <c r="H49">
        <f>SRC_Maint!B49</f>
        <v/>
      </c>
      <c r="I49">
        <f>SRC_Maint!E49</f>
        <v/>
      </c>
    </row>
    <row r="50">
      <c r="A50">
        <f>SRC_Maint!A50</f>
        <v/>
      </c>
      <c r="B50" s="4">
        <f>DATE(1899,12,30)+INT(A50)</f>
        <v/>
      </c>
      <c r="C50">
        <f>SRC_Maint!C50</f>
        <v/>
      </c>
      <c r="D50">
        <f>IFERROR(VLOOKUP(C50,VM_NORM!$A:$C,3,FALSE),"")</f>
        <v/>
      </c>
      <c r="E50">
        <f>IFERROR(VLOOKUP(D50,REF_VMBySerial!$A:$B,2,FALSE),"")</f>
        <v/>
      </c>
      <c r="F50">
        <f>SRC_Maint!D50</f>
        <v/>
      </c>
      <c r="G50">
        <f>IFERROR(VLOOKUP(F50,REF_UserByName!$A:$B,2,FALSE),"")</f>
        <v/>
      </c>
      <c r="H50">
        <f>SRC_Maint!B50</f>
        <v/>
      </c>
      <c r="I50">
        <f>SRC_Maint!E50</f>
        <v/>
      </c>
    </row>
    <row r="51">
      <c r="A51">
        <f>SRC_Maint!A51</f>
        <v/>
      </c>
      <c r="B51" s="4">
        <f>DATE(1899,12,30)+INT(A51)</f>
        <v/>
      </c>
      <c r="C51">
        <f>SRC_Maint!C51</f>
        <v/>
      </c>
      <c r="D51">
        <f>IFERROR(VLOOKUP(C51,VM_NORM!$A:$C,3,FALSE),"")</f>
        <v/>
      </c>
      <c r="E51">
        <f>IFERROR(VLOOKUP(D51,REF_VMBySerial!$A:$B,2,FALSE),"")</f>
        <v/>
      </c>
      <c r="F51">
        <f>SRC_Maint!D51</f>
        <v/>
      </c>
      <c r="G51">
        <f>IFERROR(VLOOKUP(F51,REF_UserByName!$A:$B,2,FALSE),"")</f>
        <v/>
      </c>
      <c r="H51">
        <f>SRC_Maint!B51</f>
        <v/>
      </c>
      <c r="I51">
        <f>SRC_Maint!E51</f>
        <v/>
      </c>
    </row>
    <row r="52">
      <c r="A52">
        <f>SRC_Maint!A52</f>
        <v/>
      </c>
      <c r="B52" s="4">
        <f>DATE(1899,12,30)+INT(A52)</f>
        <v/>
      </c>
      <c r="C52">
        <f>SRC_Maint!C52</f>
        <v/>
      </c>
      <c r="D52">
        <f>IFERROR(VLOOKUP(C52,VM_NORM!$A:$C,3,FALSE),"")</f>
        <v/>
      </c>
      <c r="E52">
        <f>IFERROR(VLOOKUP(D52,REF_VMBySerial!$A:$B,2,FALSE),"")</f>
        <v/>
      </c>
      <c r="F52">
        <f>SRC_Maint!D52</f>
        <v/>
      </c>
      <c r="G52">
        <f>IFERROR(VLOOKUP(F52,REF_UserByName!$A:$B,2,FALSE),"")</f>
        <v/>
      </c>
      <c r="H52">
        <f>SRC_Maint!B52</f>
        <v/>
      </c>
      <c r="I52">
        <f>SRC_Maint!E52</f>
        <v/>
      </c>
    </row>
    <row r="53">
      <c r="A53">
        <f>SRC_Maint!A53</f>
        <v/>
      </c>
      <c r="B53" s="4">
        <f>DATE(1899,12,30)+INT(A53)</f>
        <v/>
      </c>
      <c r="C53">
        <f>SRC_Maint!C53</f>
        <v/>
      </c>
      <c r="D53">
        <f>IFERROR(VLOOKUP(C53,VM_NORM!$A:$C,3,FALSE),"")</f>
        <v/>
      </c>
      <c r="E53">
        <f>IFERROR(VLOOKUP(D53,REF_VMBySerial!$A:$B,2,FALSE),"")</f>
        <v/>
      </c>
      <c r="F53">
        <f>SRC_Maint!D53</f>
        <v/>
      </c>
      <c r="G53">
        <f>IFERROR(VLOOKUP(F53,REF_UserByName!$A:$B,2,FALSE),"")</f>
        <v/>
      </c>
      <c r="H53">
        <f>SRC_Maint!B53</f>
        <v/>
      </c>
      <c r="I53">
        <f>SRC_Maint!E53</f>
        <v/>
      </c>
    </row>
    <row r="54">
      <c r="A54">
        <f>SRC_Maint!A54</f>
        <v/>
      </c>
      <c r="B54" s="4">
        <f>DATE(1899,12,30)+INT(A54)</f>
        <v/>
      </c>
      <c r="C54">
        <f>SRC_Maint!C54</f>
        <v/>
      </c>
      <c r="D54">
        <f>IFERROR(VLOOKUP(C54,VM_NORM!$A:$C,3,FALSE),"")</f>
        <v/>
      </c>
      <c r="E54">
        <f>IFERROR(VLOOKUP(D54,REF_VMBySerial!$A:$B,2,FALSE),"")</f>
        <v/>
      </c>
      <c r="F54">
        <f>SRC_Maint!D54</f>
        <v/>
      </c>
      <c r="G54">
        <f>IFERROR(VLOOKUP(F54,REF_UserByName!$A:$B,2,FALSE),"")</f>
        <v/>
      </c>
      <c r="H54">
        <f>SRC_Maint!B54</f>
        <v/>
      </c>
      <c r="I54">
        <f>SRC_Maint!E54</f>
        <v/>
      </c>
    </row>
    <row r="55">
      <c r="A55">
        <f>SRC_Maint!A55</f>
        <v/>
      </c>
      <c r="B55" s="4">
        <f>DATE(1899,12,30)+INT(A55)</f>
        <v/>
      </c>
      <c r="C55">
        <f>SRC_Maint!C55</f>
        <v/>
      </c>
      <c r="D55">
        <f>IFERROR(VLOOKUP(C55,VM_NORM!$A:$C,3,FALSE),"")</f>
        <v/>
      </c>
      <c r="E55">
        <f>IFERROR(VLOOKUP(D55,REF_VMBySerial!$A:$B,2,FALSE),"")</f>
        <v/>
      </c>
      <c r="F55">
        <f>SRC_Maint!D55</f>
        <v/>
      </c>
      <c r="G55">
        <f>IFERROR(VLOOKUP(F55,REF_UserByName!$A:$B,2,FALSE),"")</f>
        <v/>
      </c>
      <c r="H55">
        <f>SRC_Maint!B55</f>
        <v/>
      </c>
      <c r="I55">
        <f>SRC_Maint!E55</f>
        <v/>
      </c>
    </row>
    <row r="56">
      <c r="A56">
        <f>SRC_Maint!A56</f>
        <v/>
      </c>
      <c r="B56" s="4">
        <f>DATE(1899,12,30)+INT(A56)</f>
        <v/>
      </c>
      <c r="C56">
        <f>SRC_Maint!C56</f>
        <v/>
      </c>
      <c r="D56">
        <f>IFERROR(VLOOKUP(C56,VM_NORM!$A:$C,3,FALSE),"")</f>
        <v/>
      </c>
      <c r="E56">
        <f>IFERROR(VLOOKUP(D56,REF_VMBySerial!$A:$B,2,FALSE),"")</f>
        <v/>
      </c>
      <c r="F56">
        <f>SRC_Maint!D56</f>
        <v/>
      </c>
      <c r="G56">
        <f>IFERROR(VLOOKUP(F56,REF_UserByName!$A:$B,2,FALSE),"")</f>
        <v/>
      </c>
      <c r="H56">
        <f>SRC_Maint!B56</f>
        <v/>
      </c>
      <c r="I56">
        <f>SRC_Maint!E56</f>
        <v/>
      </c>
    </row>
    <row r="57">
      <c r="A57">
        <f>SRC_Maint!A57</f>
        <v/>
      </c>
      <c r="B57" s="4">
        <f>DATE(1899,12,30)+INT(A57)</f>
        <v/>
      </c>
      <c r="C57">
        <f>SRC_Maint!C57</f>
        <v/>
      </c>
      <c r="D57">
        <f>IFERROR(VLOOKUP(C57,VM_NORM!$A:$C,3,FALSE),"")</f>
        <v/>
      </c>
      <c r="E57">
        <f>IFERROR(VLOOKUP(D57,REF_VMBySerial!$A:$B,2,FALSE),"")</f>
        <v/>
      </c>
      <c r="F57">
        <f>SRC_Maint!D57</f>
        <v/>
      </c>
      <c r="G57">
        <f>IFERROR(VLOOKUP(F57,REF_UserByName!$A:$B,2,FALSE),"")</f>
        <v/>
      </c>
      <c r="H57">
        <f>SRC_Maint!B57</f>
        <v/>
      </c>
      <c r="I57">
        <f>SRC_Maint!E57</f>
        <v/>
      </c>
    </row>
    <row r="58">
      <c r="A58">
        <f>SRC_Maint!A58</f>
        <v/>
      </c>
      <c r="B58" s="4">
        <f>DATE(1899,12,30)+INT(A58)</f>
        <v/>
      </c>
      <c r="C58">
        <f>SRC_Maint!C58</f>
        <v/>
      </c>
      <c r="D58">
        <f>IFERROR(VLOOKUP(C58,VM_NORM!$A:$C,3,FALSE),"")</f>
        <v/>
      </c>
      <c r="E58">
        <f>IFERROR(VLOOKUP(D58,REF_VMBySerial!$A:$B,2,FALSE),"")</f>
        <v/>
      </c>
      <c r="F58">
        <f>SRC_Maint!D58</f>
        <v/>
      </c>
      <c r="G58">
        <f>IFERROR(VLOOKUP(F58,REF_UserByName!$A:$B,2,FALSE),"")</f>
        <v/>
      </c>
      <c r="H58">
        <f>SRC_Maint!B58</f>
        <v/>
      </c>
      <c r="I58">
        <f>SRC_Maint!E58</f>
        <v/>
      </c>
    </row>
    <row r="59">
      <c r="A59">
        <f>SRC_Maint!A59</f>
        <v/>
      </c>
      <c r="B59" s="4">
        <f>DATE(1899,12,30)+INT(A59)</f>
        <v/>
      </c>
      <c r="C59">
        <f>SRC_Maint!C59</f>
        <v/>
      </c>
      <c r="D59">
        <f>IFERROR(VLOOKUP(C59,VM_NORM!$A:$C,3,FALSE),"")</f>
        <v/>
      </c>
      <c r="E59">
        <f>IFERROR(VLOOKUP(D59,REF_VMBySerial!$A:$B,2,FALSE),"")</f>
        <v/>
      </c>
      <c r="F59">
        <f>SRC_Maint!D59</f>
        <v/>
      </c>
      <c r="G59">
        <f>IFERROR(VLOOKUP(F59,REF_UserByName!$A:$B,2,FALSE),"")</f>
        <v/>
      </c>
      <c r="H59">
        <f>SRC_Maint!B59</f>
        <v/>
      </c>
      <c r="I59">
        <f>SRC_Maint!E59</f>
        <v/>
      </c>
    </row>
    <row r="60">
      <c r="A60">
        <f>SRC_Maint!A60</f>
        <v/>
      </c>
      <c r="B60" s="4">
        <f>DATE(1899,12,30)+INT(A60)</f>
        <v/>
      </c>
      <c r="C60">
        <f>SRC_Maint!C60</f>
        <v/>
      </c>
      <c r="D60">
        <f>IFERROR(VLOOKUP(C60,VM_NORM!$A:$C,3,FALSE),"")</f>
        <v/>
      </c>
      <c r="E60">
        <f>IFERROR(VLOOKUP(D60,REF_VMBySerial!$A:$B,2,FALSE),"")</f>
        <v/>
      </c>
      <c r="F60">
        <f>SRC_Maint!D60</f>
        <v/>
      </c>
      <c r="G60">
        <f>IFERROR(VLOOKUP(F60,REF_UserByName!$A:$B,2,FALSE),"")</f>
        <v/>
      </c>
      <c r="H60">
        <f>SRC_Maint!B60</f>
        <v/>
      </c>
      <c r="I60">
        <f>SRC_Maint!E60</f>
        <v/>
      </c>
    </row>
    <row r="61">
      <c r="A61">
        <f>SRC_Maint!A61</f>
        <v/>
      </c>
      <c r="B61" s="4">
        <f>DATE(1899,12,30)+INT(A61)</f>
        <v/>
      </c>
      <c r="C61">
        <f>SRC_Maint!C61</f>
        <v/>
      </c>
      <c r="D61">
        <f>IFERROR(VLOOKUP(C61,VM_NORM!$A:$C,3,FALSE),"")</f>
        <v/>
      </c>
      <c r="E61">
        <f>IFERROR(VLOOKUP(D61,REF_VMBySerial!$A:$B,2,FALSE),"")</f>
        <v/>
      </c>
      <c r="F61">
        <f>SRC_Maint!D61</f>
        <v/>
      </c>
      <c r="G61">
        <f>IFERROR(VLOOKUP(F61,REF_UserByName!$A:$B,2,FALSE),"")</f>
        <v/>
      </c>
      <c r="H61">
        <f>SRC_Maint!B61</f>
        <v/>
      </c>
      <c r="I61">
        <f>SRC_Maint!E61</f>
        <v/>
      </c>
    </row>
    <row r="62">
      <c r="A62">
        <f>SRC_Maint!A62</f>
        <v/>
      </c>
      <c r="B62" s="4">
        <f>DATE(1899,12,30)+INT(A62)</f>
        <v/>
      </c>
      <c r="C62">
        <f>SRC_Maint!C62</f>
        <v/>
      </c>
      <c r="D62">
        <f>IFERROR(VLOOKUP(C62,VM_NORM!$A:$C,3,FALSE),"")</f>
        <v/>
      </c>
      <c r="E62">
        <f>IFERROR(VLOOKUP(D62,REF_VMBySerial!$A:$B,2,FALSE),"")</f>
        <v/>
      </c>
      <c r="F62">
        <f>SRC_Maint!D62</f>
        <v/>
      </c>
      <c r="G62">
        <f>IFERROR(VLOOKUP(F62,REF_UserByName!$A:$B,2,FALSE),"")</f>
        <v/>
      </c>
      <c r="H62">
        <f>SRC_Maint!B62</f>
        <v/>
      </c>
      <c r="I62">
        <f>SRC_Maint!E62</f>
        <v/>
      </c>
    </row>
    <row r="63">
      <c r="A63">
        <f>SRC_Maint!A63</f>
        <v/>
      </c>
      <c r="B63" s="4">
        <f>DATE(1899,12,30)+INT(A63)</f>
        <v/>
      </c>
      <c r="C63">
        <f>SRC_Maint!C63</f>
        <v/>
      </c>
      <c r="D63">
        <f>IFERROR(VLOOKUP(C63,VM_NORM!$A:$C,3,FALSE),"")</f>
        <v/>
      </c>
      <c r="E63">
        <f>IFERROR(VLOOKUP(D63,REF_VMBySerial!$A:$B,2,FALSE),"")</f>
        <v/>
      </c>
      <c r="F63">
        <f>SRC_Maint!D63</f>
        <v/>
      </c>
      <c r="G63">
        <f>IFERROR(VLOOKUP(F63,REF_UserByName!$A:$B,2,FALSE),"")</f>
        <v/>
      </c>
      <c r="H63">
        <f>SRC_Maint!B63</f>
        <v/>
      </c>
      <c r="I63">
        <f>SRC_Maint!E63</f>
        <v/>
      </c>
    </row>
    <row r="64">
      <c r="A64">
        <f>SRC_Maint!A64</f>
        <v/>
      </c>
      <c r="B64" s="4">
        <f>DATE(1899,12,30)+INT(A64)</f>
        <v/>
      </c>
      <c r="C64">
        <f>SRC_Maint!C64</f>
        <v/>
      </c>
      <c r="D64">
        <f>IFERROR(VLOOKUP(C64,VM_NORM!$A:$C,3,FALSE),"")</f>
        <v/>
      </c>
      <c r="E64">
        <f>IFERROR(VLOOKUP(D64,REF_VMBySerial!$A:$B,2,FALSE),"")</f>
        <v/>
      </c>
      <c r="F64">
        <f>SRC_Maint!D64</f>
        <v/>
      </c>
      <c r="G64">
        <f>IFERROR(VLOOKUP(F64,REF_UserByName!$A:$B,2,FALSE),"")</f>
        <v/>
      </c>
      <c r="H64">
        <f>SRC_Maint!B64</f>
        <v/>
      </c>
      <c r="I64">
        <f>SRC_Maint!E64</f>
        <v/>
      </c>
    </row>
    <row r="65">
      <c r="A65">
        <f>SRC_Maint!A65</f>
        <v/>
      </c>
      <c r="B65" s="4">
        <f>DATE(1899,12,30)+INT(A65)</f>
        <v/>
      </c>
      <c r="C65">
        <f>SRC_Maint!C65</f>
        <v/>
      </c>
      <c r="D65">
        <f>IFERROR(VLOOKUP(C65,VM_NORM!$A:$C,3,FALSE),"")</f>
        <v/>
      </c>
      <c r="E65">
        <f>IFERROR(VLOOKUP(D65,REF_VMBySerial!$A:$B,2,FALSE),"")</f>
        <v/>
      </c>
      <c r="F65">
        <f>SRC_Maint!D65</f>
        <v/>
      </c>
      <c r="G65">
        <f>IFERROR(VLOOKUP(F65,REF_UserByName!$A:$B,2,FALSE),"")</f>
        <v/>
      </c>
      <c r="H65">
        <f>SRC_Maint!B65</f>
        <v/>
      </c>
      <c r="I65">
        <f>SRC_Maint!E65</f>
        <v/>
      </c>
    </row>
    <row r="66">
      <c r="A66">
        <f>SRC_Maint!A66</f>
        <v/>
      </c>
      <c r="B66" s="4">
        <f>DATE(1899,12,30)+INT(A66)</f>
        <v/>
      </c>
      <c r="C66">
        <f>SRC_Maint!C66</f>
        <v/>
      </c>
      <c r="D66">
        <f>IFERROR(VLOOKUP(C66,VM_NORM!$A:$C,3,FALSE),"")</f>
        <v/>
      </c>
      <c r="E66">
        <f>IFERROR(VLOOKUP(D66,REF_VMBySerial!$A:$B,2,FALSE),"")</f>
        <v/>
      </c>
      <c r="F66">
        <f>SRC_Maint!D66</f>
        <v/>
      </c>
      <c r="G66">
        <f>IFERROR(VLOOKUP(F66,REF_UserByName!$A:$B,2,FALSE),"")</f>
        <v/>
      </c>
      <c r="H66">
        <f>SRC_Maint!B66</f>
        <v/>
      </c>
      <c r="I66">
        <f>SRC_Maint!E66</f>
        <v/>
      </c>
    </row>
    <row r="67">
      <c r="A67">
        <f>SRC_Maint!A67</f>
        <v/>
      </c>
      <c r="B67" s="4">
        <f>DATE(1899,12,30)+INT(A67)</f>
        <v/>
      </c>
      <c r="C67">
        <f>SRC_Maint!C67</f>
        <v/>
      </c>
      <c r="D67">
        <f>IFERROR(VLOOKUP(C67,VM_NORM!$A:$C,3,FALSE),"")</f>
        <v/>
      </c>
      <c r="E67">
        <f>IFERROR(VLOOKUP(D67,REF_VMBySerial!$A:$B,2,FALSE),"")</f>
        <v/>
      </c>
      <c r="F67">
        <f>SRC_Maint!D67</f>
        <v/>
      </c>
      <c r="G67">
        <f>IFERROR(VLOOKUP(F67,REF_UserByName!$A:$B,2,FALSE),"")</f>
        <v/>
      </c>
      <c r="H67">
        <f>SRC_Maint!B67</f>
        <v/>
      </c>
      <c r="I67">
        <f>SRC_Maint!E67</f>
        <v/>
      </c>
    </row>
    <row r="68">
      <c r="A68">
        <f>SRC_Maint!A68</f>
        <v/>
      </c>
      <c r="B68" s="4">
        <f>DATE(1899,12,30)+INT(A68)</f>
        <v/>
      </c>
      <c r="C68">
        <f>SRC_Maint!C68</f>
        <v/>
      </c>
      <c r="D68">
        <f>IFERROR(VLOOKUP(C68,VM_NORM!$A:$C,3,FALSE),"")</f>
        <v/>
      </c>
      <c r="E68">
        <f>IFERROR(VLOOKUP(D68,REF_VMBySerial!$A:$B,2,FALSE),"")</f>
        <v/>
      </c>
      <c r="F68">
        <f>SRC_Maint!D68</f>
        <v/>
      </c>
      <c r="G68">
        <f>IFERROR(VLOOKUP(F68,REF_UserByName!$A:$B,2,FALSE),"")</f>
        <v/>
      </c>
      <c r="H68">
        <f>SRC_Maint!B68</f>
        <v/>
      </c>
      <c r="I68">
        <f>SRC_Maint!E68</f>
        <v/>
      </c>
    </row>
    <row r="69">
      <c r="A69">
        <f>SRC_Maint!A69</f>
        <v/>
      </c>
      <c r="B69" s="4">
        <f>DATE(1899,12,30)+INT(A69)</f>
        <v/>
      </c>
      <c r="C69">
        <f>SRC_Maint!C69</f>
        <v/>
      </c>
      <c r="D69">
        <f>IFERROR(VLOOKUP(C69,VM_NORM!$A:$C,3,FALSE),"")</f>
        <v/>
      </c>
      <c r="E69">
        <f>IFERROR(VLOOKUP(D69,REF_VMBySerial!$A:$B,2,FALSE),"")</f>
        <v/>
      </c>
      <c r="F69">
        <f>SRC_Maint!D69</f>
        <v/>
      </c>
      <c r="G69">
        <f>IFERROR(VLOOKUP(F69,REF_UserByName!$A:$B,2,FALSE),"")</f>
        <v/>
      </c>
      <c r="H69">
        <f>SRC_Maint!B69</f>
        <v/>
      </c>
      <c r="I69">
        <f>SRC_Maint!E69</f>
        <v/>
      </c>
    </row>
    <row r="70">
      <c r="A70">
        <f>SRC_Maint!A70</f>
        <v/>
      </c>
      <c r="B70" s="4">
        <f>DATE(1899,12,30)+INT(A70)</f>
        <v/>
      </c>
      <c r="C70">
        <f>SRC_Maint!C70</f>
        <v/>
      </c>
      <c r="D70">
        <f>IFERROR(VLOOKUP(C70,VM_NORM!$A:$C,3,FALSE),"")</f>
        <v/>
      </c>
      <c r="E70">
        <f>IFERROR(VLOOKUP(D70,REF_VMBySerial!$A:$B,2,FALSE),"")</f>
        <v/>
      </c>
      <c r="F70">
        <f>SRC_Maint!D70</f>
        <v/>
      </c>
      <c r="G70">
        <f>IFERROR(VLOOKUP(F70,REF_UserByName!$A:$B,2,FALSE),"")</f>
        <v/>
      </c>
      <c r="H70">
        <f>SRC_Maint!B70</f>
        <v/>
      </c>
      <c r="I70">
        <f>SRC_Maint!E70</f>
        <v/>
      </c>
    </row>
    <row r="71">
      <c r="A71">
        <f>SRC_Maint!A71</f>
        <v/>
      </c>
      <c r="B71" s="4">
        <f>DATE(1899,12,30)+INT(A71)</f>
        <v/>
      </c>
      <c r="C71">
        <f>SRC_Maint!C71</f>
        <v/>
      </c>
      <c r="D71">
        <f>IFERROR(VLOOKUP(C71,VM_NORM!$A:$C,3,FALSE),"")</f>
        <v/>
      </c>
      <c r="E71">
        <f>IFERROR(VLOOKUP(D71,REF_VMBySerial!$A:$B,2,FALSE),"")</f>
        <v/>
      </c>
      <c r="F71">
        <f>SRC_Maint!D71</f>
        <v/>
      </c>
      <c r="G71">
        <f>IFERROR(VLOOKUP(F71,REF_UserByName!$A:$B,2,FALSE),"")</f>
        <v/>
      </c>
      <c r="H71">
        <f>SRC_Maint!B71</f>
        <v/>
      </c>
      <c r="I71">
        <f>SRC_Maint!E71</f>
        <v/>
      </c>
    </row>
    <row r="72">
      <c r="A72">
        <f>SRC_Maint!A72</f>
        <v/>
      </c>
      <c r="B72" s="4">
        <f>DATE(1899,12,30)+INT(A72)</f>
        <v/>
      </c>
      <c r="C72">
        <f>SRC_Maint!C72</f>
        <v/>
      </c>
      <c r="D72">
        <f>IFERROR(VLOOKUP(C72,VM_NORM!$A:$C,3,FALSE),"")</f>
        <v/>
      </c>
      <c r="E72">
        <f>IFERROR(VLOOKUP(D72,REF_VMBySerial!$A:$B,2,FALSE),"")</f>
        <v/>
      </c>
      <c r="F72">
        <f>SRC_Maint!D72</f>
        <v/>
      </c>
      <c r="G72">
        <f>IFERROR(VLOOKUP(F72,REF_UserByName!$A:$B,2,FALSE),"")</f>
        <v/>
      </c>
      <c r="H72">
        <f>SRC_Maint!B72</f>
        <v/>
      </c>
      <c r="I72">
        <f>SRC_Maint!E72</f>
        <v/>
      </c>
    </row>
    <row r="73">
      <c r="A73">
        <f>SRC_Maint!A73</f>
        <v/>
      </c>
      <c r="B73" s="4">
        <f>DATE(1899,12,30)+INT(A73)</f>
        <v/>
      </c>
      <c r="C73">
        <f>SRC_Maint!C73</f>
        <v/>
      </c>
      <c r="D73">
        <f>IFERROR(VLOOKUP(C73,VM_NORM!$A:$C,3,FALSE),"")</f>
        <v/>
      </c>
      <c r="E73">
        <f>IFERROR(VLOOKUP(D73,REF_VMBySerial!$A:$B,2,FALSE),"")</f>
        <v/>
      </c>
      <c r="F73">
        <f>SRC_Maint!D73</f>
        <v/>
      </c>
      <c r="G73">
        <f>IFERROR(VLOOKUP(F73,REF_UserByName!$A:$B,2,FALSE),"")</f>
        <v/>
      </c>
      <c r="H73">
        <f>SRC_Maint!B73</f>
        <v/>
      </c>
      <c r="I73">
        <f>SRC_Maint!E73</f>
        <v/>
      </c>
    </row>
    <row r="74">
      <c r="A74">
        <f>SRC_Maint!A74</f>
        <v/>
      </c>
      <c r="B74" s="4">
        <f>DATE(1899,12,30)+INT(A74)</f>
        <v/>
      </c>
      <c r="C74">
        <f>SRC_Maint!C74</f>
        <v/>
      </c>
      <c r="D74">
        <f>IFERROR(VLOOKUP(C74,VM_NORM!$A:$C,3,FALSE),"")</f>
        <v/>
      </c>
      <c r="E74">
        <f>IFERROR(VLOOKUP(D74,REF_VMBySerial!$A:$B,2,FALSE),"")</f>
        <v/>
      </c>
      <c r="F74">
        <f>SRC_Maint!D74</f>
        <v/>
      </c>
      <c r="G74">
        <f>IFERROR(VLOOKUP(F74,REF_UserByName!$A:$B,2,FALSE),"")</f>
        <v/>
      </c>
      <c r="H74">
        <f>SRC_Maint!B74</f>
        <v/>
      </c>
      <c r="I74">
        <f>SRC_Maint!E74</f>
        <v/>
      </c>
    </row>
    <row r="75">
      <c r="A75">
        <f>SRC_Maint!A75</f>
        <v/>
      </c>
      <c r="B75" s="4">
        <f>DATE(1899,12,30)+INT(A75)</f>
        <v/>
      </c>
      <c r="C75">
        <f>SRC_Maint!C75</f>
        <v/>
      </c>
      <c r="D75">
        <f>IFERROR(VLOOKUP(C75,VM_NORM!$A:$C,3,FALSE),"")</f>
        <v/>
      </c>
      <c r="E75">
        <f>IFERROR(VLOOKUP(D75,REF_VMBySerial!$A:$B,2,FALSE),"")</f>
        <v/>
      </c>
      <c r="F75">
        <f>SRC_Maint!D75</f>
        <v/>
      </c>
      <c r="G75">
        <f>IFERROR(VLOOKUP(F75,REF_UserByName!$A:$B,2,FALSE),"")</f>
        <v/>
      </c>
      <c r="H75">
        <f>SRC_Maint!B75</f>
        <v/>
      </c>
      <c r="I75">
        <f>SRC_Maint!E75</f>
        <v/>
      </c>
    </row>
    <row r="76">
      <c r="A76">
        <f>SRC_Maint!A76</f>
        <v/>
      </c>
      <c r="B76" s="4">
        <f>DATE(1899,12,30)+INT(A76)</f>
        <v/>
      </c>
      <c r="C76">
        <f>SRC_Maint!C76</f>
        <v/>
      </c>
      <c r="D76">
        <f>IFERROR(VLOOKUP(C76,VM_NORM!$A:$C,3,FALSE),"")</f>
        <v/>
      </c>
      <c r="E76">
        <f>IFERROR(VLOOKUP(D76,REF_VMBySerial!$A:$B,2,FALSE),"")</f>
        <v/>
      </c>
      <c r="F76">
        <f>SRC_Maint!D76</f>
        <v/>
      </c>
      <c r="G76">
        <f>IFERROR(VLOOKUP(F76,REF_UserByName!$A:$B,2,FALSE),"")</f>
        <v/>
      </c>
      <c r="H76">
        <f>SRC_Maint!B76</f>
        <v/>
      </c>
      <c r="I76">
        <f>SRC_Maint!E76</f>
        <v/>
      </c>
    </row>
    <row r="77">
      <c r="A77">
        <f>SRC_Maint!A77</f>
        <v/>
      </c>
      <c r="B77" s="4">
        <f>DATE(1899,12,30)+INT(A77)</f>
        <v/>
      </c>
      <c r="C77">
        <f>SRC_Maint!C77</f>
        <v/>
      </c>
      <c r="D77">
        <f>IFERROR(VLOOKUP(C77,VM_NORM!$A:$C,3,FALSE),"")</f>
        <v/>
      </c>
      <c r="E77">
        <f>IFERROR(VLOOKUP(D77,REF_VMBySerial!$A:$B,2,FALSE),"")</f>
        <v/>
      </c>
      <c r="F77">
        <f>SRC_Maint!D77</f>
        <v/>
      </c>
      <c r="G77">
        <f>IFERROR(VLOOKUP(F77,REF_UserByName!$A:$B,2,FALSE),"")</f>
        <v/>
      </c>
      <c r="H77">
        <f>SRC_Maint!B77</f>
        <v/>
      </c>
      <c r="I77">
        <f>SRC_Maint!E77</f>
        <v/>
      </c>
    </row>
    <row r="78">
      <c r="A78">
        <f>SRC_Maint!A78</f>
        <v/>
      </c>
      <c r="B78" s="4">
        <f>DATE(1899,12,30)+INT(A78)</f>
        <v/>
      </c>
      <c r="C78">
        <f>SRC_Maint!C78</f>
        <v/>
      </c>
      <c r="D78">
        <f>IFERROR(VLOOKUP(C78,VM_NORM!$A:$C,3,FALSE),"")</f>
        <v/>
      </c>
      <c r="E78">
        <f>IFERROR(VLOOKUP(D78,REF_VMBySerial!$A:$B,2,FALSE),"")</f>
        <v/>
      </c>
      <c r="F78">
        <f>SRC_Maint!D78</f>
        <v/>
      </c>
      <c r="G78">
        <f>IFERROR(VLOOKUP(F78,REF_UserByName!$A:$B,2,FALSE),"")</f>
        <v/>
      </c>
      <c r="H78">
        <f>SRC_Maint!B78</f>
        <v/>
      </c>
      <c r="I78">
        <f>SRC_Maint!E78</f>
        <v/>
      </c>
    </row>
    <row r="79">
      <c r="A79">
        <f>SRC_Maint!A79</f>
        <v/>
      </c>
      <c r="B79" s="4">
        <f>DATE(1899,12,30)+INT(A79)</f>
        <v/>
      </c>
      <c r="C79">
        <f>SRC_Maint!C79</f>
        <v/>
      </c>
      <c r="D79">
        <f>IFERROR(VLOOKUP(C79,VM_NORM!$A:$C,3,FALSE),"")</f>
        <v/>
      </c>
      <c r="E79">
        <f>IFERROR(VLOOKUP(D79,REF_VMBySerial!$A:$B,2,FALSE),"")</f>
        <v/>
      </c>
      <c r="F79">
        <f>SRC_Maint!D79</f>
        <v/>
      </c>
      <c r="G79">
        <f>IFERROR(VLOOKUP(F79,REF_UserByName!$A:$B,2,FALSE),"")</f>
        <v/>
      </c>
      <c r="H79">
        <f>SRC_Maint!B79</f>
        <v/>
      </c>
      <c r="I79">
        <f>SRC_Maint!E79</f>
        <v/>
      </c>
    </row>
    <row r="80">
      <c r="A80">
        <f>SRC_Maint!A80</f>
        <v/>
      </c>
      <c r="B80" s="4">
        <f>DATE(1899,12,30)+INT(A80)</f>
        <v/>
      </c>
      <c r="C80">
        <f>SRC_Maint!C80</f>
        <v/>
      </c>
      <c r="D80">
        <f>IFERROR(VLOOKUP(C80,VM_NORM!$A:$C,3,FALSE),"")</f>
        <v/>
      </c>
      <c r="E80">
        <f>IFERROR(VLOOKUP(D80,REF_VMBySerial!$A:$B,2,FALSE),"")</f>
        <v/>
      </c>
      <c r="F80">
        <f>SRC_Maint!D80</f>
        <v/>
      </c>
      <c r="G80">
        <f>IFERROR(VLOOKUP(F80,REF_UserByName!$A:$B,2,FALSE),"")</f>
        <v/>
      </c>
      <c r="H80">
        <f>SRC_Maint!B80</f>
        <v/>
      </c>
      <c r="I80">
        <f>SRC_Maint!E80</f>
        <v/>
      </c>
    </row>
    <row r="81">
      <c r="A81">
        <f>SRC_Maint!A81</f>
        <v/>
      </c>
      <c r="B81" s="4">
        <f>DATE(1899,12,30)+INT(A81)</f>
        <v/>
      </c>
      <c r="C81">
        <f>SRC_Maint!C81</f>
        <v/>
      </c>
      <c r="D81">
        <f>IFERROR(VLOOKUP(C81,VM_NORM!$A:$C,3,FALSE),"")</f>
        <v/>
      </c>
      <c r="E81">
        <f>IFERROR(VLOOKUP(D81,REF_VMBySerial!$A:$B,2,FALSE),"")</f>
        <v/>
      </c>
      <c r="F81">
        <f>SRC_Maint!D81</f>
        <v/>
      </c>
      <c r="G81">
        <f>IFERROR(VLOOKUP(F81,REF_UserByName!$A:$B,2,FALSE),"")</f>
        <v/>
      </c>
      <c r="H81">
        <f>SRC_Maint!B81</f>
        <v/>
      </c>
      <c r="I81">
        <f>SRC_Maint!E81</f>
        <v/>
      </c>
    </row>
    <row r="82">
      <c r="A82">
        <f>SRC_Maint!A82</f>
        <v/>
      </c>
      <c r="B82" s="4">
        <f>DATE(1899,12,30)+INT(A82)</f>
        <v/>
      </c>
      <c r="C82">
        <f>SRC_Maint!C82</f>
        <v/>
      </c>
      <c r="D82">
        <f>IFERROR(VLOOKUP(C82,VM_NORM!$A:$C,3,FALSE),"")</f>
        <v/>
      </c>
      <c r="E82">
        <f>IFERROR(VLOOKUP(D82,REF_VMBySerial!$A:$B,2,FALSE),"")</f>
        <v/>
      </c>
      <c r="F82">
        <f>SRC_Maint!D82</f>
        <v/>
      </c>
      <c r="G82">
        <f>IFERROR(VLOOKUP(F82,REF_UserByName!$A:$B,2,FALSE),"")</f>
        <v/>
      </c>
      <c r="H82">
        <f>SRC_Maint!B82</f>
        <v/>
      </c>
      <c r="I82">
        <f>SRC_Maint!E82</f>
        <v/>
      </c>
    </row>
    <row r="83">
      <c r="A83">
        <f>SRC_Maint!A83</f>
        <v/>
      </c>
      <c r="B83" s="4">
        <f>DATE(1899,12,30)+INT(A83)</f>
        <v/>
      </c>
      <c r="C83">
        <f>SRC_Maint!C83</f>
        <v/>
      </c>
      <c r="D83">
        <f>IFERROR(VLOOKUP(C83,VM_NORM!$A:$C,3,FALSE),"")</f>
        <v/>
      </c>
      <c r="E83">
        <f>IFERROR(VLOOKUP(D83,REF_VMBySerial!$A:$B,2,FALSE),"")</f>
        <v/>
      </c>
      <c r="F83">
        <f>SRC_Maint!D83</f>
        <v/>
      </c>
      <c r="G83">
        <f>IFERROR(VLOOKUP(F83,REF_UserByName!$A:$B,2,FALSE),"")</f>
        <v/>
      </c>
      <c r="H83">
        <f>SRC_Maint!B83</f>
        <v/>
      </c>
      <c r="I83">
        <f>SRC_Maint!E83</f>
        <v/>
      </c>
    </row>
    <row r="84">
      <c r="A84">
        <f>SRC_Maint!A84</f>
        <v/>
      </c>
      <c r="B84" s="4">
        <f>DATE(1899,12,30)+INT(A84)</f>
        <v/>
      </c>
      <c r="C84">
        <f>SRC_Maint!C84</f>
        <v/>
      </c>
      <c r="D84">
        <f>IFERROR(VLOOKUP(C84,VM_NORM!$A:$C,3,FALSE),"")</f>
        <v/>
      </c>
      <c r="E84">
        <f>IFERROR(VLOOKUP(D84,REF_VMBySerial!$A:$B,2,FALSE),"")</f>
        <v/>
      </c>
      <c r="F84">
        <f>SRC_Maint!D84</f>
        <v/>
      </c>
      <c r="G84">
        <f>IFERROR(VLOOKUP(F84,REF_UserByName!$A:$B,2,FALSE),"")</f>
        <v/>
      </c>
      <c r="H84">
        <f>SRC_Maint!B84</f>
        <v/>
      </c>
      <c r="I84">
        <f>SRC_Maint!E84</f>
        <v/>
      </c>
    </row>
    <row r="85">
      <c r="A85">
        <f>SRC_Maint!A85</f>
        <v/>
      </c>
      <c r="B85" s="4">
        <f>DATE(1899,12,30)+INT(A85)</f>
        <v/>
      </c>
      <c r="C85">
        <f>SRC_Maint!C85</f>
        <v/>
      </c>
      <c r="D85">
        <f>IFERROR(VLOOKUP(C85,VM_NORM!$A:$C,3,FALSE),"")</f>
        <v/>
      </c>
      <c r="E85">
        <f>IFERROR(VLOOKUP(D85,REF_VMBySerial!$A:$B,2,FALSE),"")</f>
        <v/>
      </c>
      <c r="F85">
        <f>SRC_Maint!D85</f>
        <v/>
      </c>
      <c r="G85">
        <f>IFERROR(VLOOKUP(F85,REF_UserByName!$A:$B,2,FALSE),"")</f>
        <v/>
      </c>
      <c r="H85">
        <f>SRC_Maint!B85</f>
        <v/>
      </c>
      <c r="I85">
        <f>SRC_Maint!E85</f>
        <v/>
      </c>
    </row>
    <row r="86">
      <c r="A86">
        <f>SRC_Maint!A86</f>
        <v/>
      </c>
      <c r="B86" s="4">
        <f>DATE(1899,12,30)+INT(A86)</f>
        <v/>
      </c>
      <c r="C86">
        <f>SRC_Maint!C86</f>
        <v/>
      </c>
      <c r="D86">
        <f>IFERROR(VLOOKUP(C86,VM_NORM!$A:$C,3,FALSE),"")</f>
        <v/>
      </c>
      <c r="E86">
        <f>IFERROR(VLOOKUP(D86,REF_VMBySerial!$A:$B,2,FALSE),"")</f>
        <v/>
      </c>
      <c r="F86">
        <f>SRC_Maint!D86</f>
        <v/>
      </c>
      <c r="G86">
        <f>IFERROR(VLOOKUP(F86,REF_UserByName!$A:$B,2,FALSE),"")</f>
        <v/>
      </c>
      <c r="H86">
        <f>SRC_Maint!B86</f>
        <v/>
      </c>
      <c r="I86">
        <f>SRC_Maint!E86</f>
        <v/>
      </c>
    </row>
    <row r="87">
      <c r="A87">
        <f>SRC_Maint!A87</f>
        <v/>
      </c>
      <c r="B87" s="4">
        <f>DATE(1899,12,30)+INT(A87)</f>
        <v/>
      </c>
      <c r="C87">
        <f>SRC_Maint!C87</f>
        <v/>
      </c>
      <c r="D87">
        <f>IFERROR(VLOOKUP(C87,VM_NORM!$A:$C,3,FALSE),"")</f>
        <v/>
      </c>
      <c r="E87">
        <f>IFERROR(VLOOKUP(D87,REF_VMBySerial!$A:$B,2,FALSE),"")</f>
        <v/>
      </c>
      <c r="F87">
        <f>SRC_Maint!D87</f>
        <v/>
      </c>
      <c r="G87">
        <f>IFERROR(VLOOKUP(F87,REF_UserByName!$A:$B,2,FALSE),"")</f>
        <v/>
      </c>
      <c r="H87">
        <f>SRC_Maint!B87</f>
        <v/>
      </c>
      <c r="I87">
        <f>SRC_Maint!E87</f>
        <v/>
      </c>
    </row>
    <row r="88">
      <c r="A88">
        <f>SRC_Maint!A88</f>
        <v/>
      </c>
      <c r="B88" s="4">
        <f>DATE(1899,12,30)+INT(A88)</f>
        <v/>
      </c>
      <c r="C88">
        <f>SRC_Maint!C88</f>
        <v/>
      </c>
      <c r="D88">
        <f>IFERROR(VLOOKUP(C88,VM_NORM!$A:$C,3,FALSE),"")</f>
        <v/>
      </c>
      <c r="E88">
        <f>IFERROR(VLOOKUP(D88,REF_VMBySerial!$A:$B,2,FALSE),"")</f>
        <v/>
      </c>
      <c r="F88">
        <f>SRC_Maint!D88</f>
        <v/>
      </c>
      <c r="G88">
        <f>IFERROR(VLOOKUP(F88,REF_UserByName!$A:$B,2,FALSE),"")</f>
        <v/>
      </c>
      <c r="H88">
        <f>SRC_Maint!B88</f>
        <v/>
      </c>
      <c r="I88">
        <f>SRC_Maint!E88</f>
        <v/>
      </c>
    </row>
    <row r="89">
      <c r="A89">
        <f>SRC_Maint!A89</f>
        <v/>
      </c>
      <c r="B89" s="4">
        <f>DATE(1899,12,30)+INT(A89)</f>
        <v/>
      </c>
      <c r="C89">
        <f>SRC_Maint!C89</f>
        <v/>
      </c>
      <c r="D89">
        <f>IFERROR(VLOOKUP(C89,VM_NORM!$A:$C,3,FALSE),"")</f>
        <v/>
      </c>
      <c r="E89">
        <f>IFERROR(VLOOKUP(D89,REF_VMBySerial!$A:$B,2,FALSE),"")</f>
        <v/>
      </c>
      <c r="F89">
        <f>SRC_Maint!D89</f>
        <v/>
      </c>
      <c r="G89">
        <f>IFERROR(VLOOKUP(F89,REF_UserByName!$A:$B,2,FALSE),"")</f>
        <v/>
      </c>
      <c r="H89">
        <f>SRC_Maint!B89</f>
        <v/>
      </c>
      <c r="I89">
        <f>SRC_Maint!E89</f>
        <v/>
      </c>
    </row>
    <row r="90">
      <c r="A90">
        <f>SRC_Maint!A90</f>
        <v/>
      </c>
      <c r="B90" s="4">
        <f>DATE(1899,12,30)+INT(A90)</f>
        <v/>
      </c>
      <c r="C90">
        <f>SRC_Maint!C90</f>
        <v/>
      </c>
      <c r="D90">
        <f>IFERROR(VLOOKUP(C90,VM_NORM!$A:$C,3,FALSE),"")</f>
        <v/>
      </c>
      <c r="E90">
        <f>IFERROR(VLOOKUP(D90,REF_VMBySerial!$A:$B,2,FALSE),"")</f>
        <v/>
      </c>
      <c r="F90">
        <f>SRC_Maint!D90</f>
        <v/>
      </c>
      <c r="G90">
        <f>IFERROR(VLOOKUP(F90,REF_UserByName!$A:$B,2,FALSE),"")</f>
        <v/>
      </c>
      <c r="H90">
        <f>SRC_Maint!B90</f>
        <v/>
      </c>
      <c r="I90">
        <f>SRC_Maint!E90</f>
        <v/>
      </c>
    </row>
    <row r="91">
      <c r="A91">
        <f>SRC_Maint!A91</f>
        <v/>
      </c>
      <c r="B91" s="4">
        <f>DATE(1899,12,30)+INT(A91)</f>
        <v/>
      </c>
      <c r="C91">
        <f>SRC_Maint!C91</f>
        <v/>
      </c>
      <c r="D91">
        <f>IFERROR(VLOOKUP(C91,VM_NORM!$A:$C,3,FALSE),"")</f>
        <v/>
      </c>
      <c r="E91">
        <f>IFERROR(VLOOKUP(D91,REF_VMBySerial!$A:$B,2,FALSE),"")</f>
        <v/>
      </c>
      <c r="F91">
        <f>SRC_Maint!D91</f>
        <v/>
      </c>
      <c r="G91">
        <f>IFERROR(VLOOKUP(F91,REF_UserByName!$A:$B,2,FALSE),"")</f>
        <v/>
      </c>
      <c r="H91">
        <f>SRC_Maint!B91</f>
        <v/>
      </c>
      <c r="I91">
        <f>SRC_Maint!E91</f>
        <v/>
      </c>
    </row>
    <row r="92">
      <c r="A92">
        <f>SRC_Maint!A92</f>
        <v/>
      </c>
      <c r="B92" s="4">
        <f>DATE(1899,12,30)+INT(A92)</f>
        <v/>
      </c>
      <c r="C92">
        <f>SRC_Maint!C92</f>
        <v/>
      </c>
      <c r="D92">
        <f>IFERROR(VLOOKUP(C92,VM_NORM!$A:$C,3,FALSE),"")</f>
        <v/>
      </c>
      <c r="E92">
        <f>IFERROR(VLOOKUP(D92,REF_VMBySerial!$A:$B,2,FALSE),"")</f>
        <v/>
      </c>
      <c r="F92">
        <f>SRC_Maint!D92</f>
        <v/>
      </c>
      <c r="G92">
        <f>IFERROR(VLOOKUP(F92,REF_UserByName!$A:$B,2,FALSE),"")</f>
        <v/>
      </c>
      <c r="H92">
        <f>SRC_Maint!B92</f>
        <v/>
      </c>
      <c r="I92">
        <f>SRC_Maint!E92</f>
        <v/>
      </c>
    </row>
    <row r="93">
      <c r="A93">
        <f>SRC_Maint!A93</f>
        <v/>
      </c>
      <c r="B93" s="4">
        <f>DATE(1899,12,30)+INT(A93)</f>
        <v/>
      </c>
      <c r="C93">
        <f>SRC_Maint!C93</f>
        <v/>
      </c>
      <c r="D93">
        <f>IFERROR(VLOOKUP(C93,VM_NORM!$A:$C,3,FALSE),"")</f>
        <v/>
      </c>
      <c r="E93">
        <f>IFERROR(VLOOKUP(D93,REF_VMBySerial!$A:$B,2,FALSE),"")</f>
        <v/>
      </c>
      <c r="F93">
        <f>SRC_Maint!D93</f>
        <v/>
      </c>
      <c r="G93">
        <f>IFERROR(VLOOKUP(F93,REF_UserByName!$A:$B,2,FALSE),"")</f>
        <v/>
      </c>
      <c r="H93">
        <f>SRC_Maint!B93</f>
        <v/>
      </c>
      <c r="I93">
        <f>SRC_Maint!E93</f>
        <v/>
      </c>
    </row>
    <row r="94">
      <c r="A94">
        <f>SRC_Maint!A94</f>
        <v/>
      </c>
      <c r="B94" s="4">
        <f>DATE(1899,12,30)+INT(A94)</f>
        <v/>
      </c>
      <c r="C94">
        <f>SRC_Maint!C94</f>
        <v/>
      </c>
      <c r="D94">
        <f>IFERROR(VLOOKUP(C94,VM_NORM!$A:$C,3,FALSE),"")</f>
        <v/>
      </c>
      <c r="E94">
        <f>IFERROR(VLOOKUP(D94,REF_VMBySerial!$A:$B,2,FALSE),"")</f>
        <v/>
      </c>
      <c r="F94">
        <f>SRC_Maint!D94</f>
        <v/>
      </c>
      <c r="G94">
        <f>IFERROR(VLOOKUP(F94,REF_UserByName!$A:$B,2,FALSE),"")</f>
        <v/>
      </c>
      <c r="H94">
        <f>SRC_Maint!B94</f>
        <v/>
      </c>
      <c r="I94">
        <f>SRC_Maint!E94</f>
        <v/>
      </c>
    </row>
    <row r="95">
      <c r="A95">
        <f>SRC_Maint!A95</f>
        <v/>
      </c>
      <c r="B95" s="4">
        <f>DATE(1899,12,30)+INT(A95)</f>
        <v/>
      </c>
      <c r="C95">
        <f>SRC_Maint!C95</f>
        <v/>
      </c>
      <c r="D95">
        <f>IFERROR(VLOOKUP(C95,VM_NORM!$A:$C,3,FALSE),"")</f>
        <v/>
      </c>
      <c r="E95">
        <f>IFERROR(VLOOKUP(D95,REF_VMBySerial!$A:$B,2,FALSE),"")</f>
        <v/>
      </c>
      <c r="F95">
        <f>SRC_Maint!D95</f>
        <v/>
      </c>
      <c r="G95">
        <f>IFERROR(VLOOKUP(F95,REF_UserByName!$A:$B,2,FALSE),"")</f>
        <v/>
      </c>
      <c r="H95">
        <f>SRC_Maint!B95</f>
        <v/>
      </c>
      <c r="I95">
        <f>SRC_Maint!E95</f>
        <v/>
      </c>
    </row>
    <row r="96">
      <c r="A96">
        <f>SRC_Maint!A96</f>
        <v/>
      </c>
      <c r="B96" s="4">
        <f>DATE(1899,12,30)+INT(A96)</f>
        <v/>
      </c>
      <c r="C96">
        <f>SRC_Maint!C96</f>
        <v/>
      </c>
      <c r="D96">
        <f>IFERROR(VLOOKUP(C96,VM_NORM!$A:$C,3,FALSE),"")</f>
        <v/>
      </c>
      <c r="E96">
        <f>IFERROR(VLOOKUP(D96,REF_VMBySerial!$A:$B,2,FALSE),"")</f>
        <v/>
      </c>
      <c r="F96">
        <f>SRC_Maint!D96</f>
        <v/>
      </c>
      <c r="G96">
        <f>IFERROR(VLOOKUP(F96,REF_UserByName!$A:$B,2,FALSE),"")</f>
        <v/>
      </c>
      <c r="H96">
        <f>SRC_Maint!B96</f>
        <v/>
      </c>
      <c r="I96">
        <f>SRC_Maint!E96</f>
        <v/>
      </c>
    </row>
    <row r="97">
      <c r="A97">
        <f>SRC_Maint!A97</f>
        <v/>
      </c>
      <c r="B97" s="4">
        <f>DATE(1899,12,30)+INT(A97)</f>
        <v/>
      </c>
      <c r="C97">
        <f>SRC_Maint!C97</f>
        <v/>
      </c>
      <c r="D97">
        <f>IFERROR(VLOOKUP(C97,VM_NORM!$A:$C,3,FALSE),"")</f>
        <v/>
      </c>
      <c r="E97">
        <f>IFERROR(VLOOKUP(D97,REF_VMBySerial!$A:$B,2,FALSE),"")</f>
        <v/>
      </c>
      <c r="F97">
        <f>SRC_Maint!D97</f>
        <v/>
      </c>
      <c r="G97">
        <f>IFERROR(VLOOKUP(F97,REF_UserByName!$A:$B,2,FALSE),"")</f>
        <v/>
      </c>
      <c r="H97">
        <f>SRC_Maint!B97</f>
        <v/>
      </c>
      <c r="I97">
        <f>SRC_Maint!E97</f>
        <v/>
      </c>
    </row>
    <row r="98">
      <c r="A98">
        <f>SRC_Maint!A98</f>
        <v/>
      </c>
      <c r="B98" s="4">
        <f>DATE(1899,12,30)+INT(A98)</f>
        <v/>
      </c>
      <c r="C98">
        <f>SRC_Maint!C98</f>
        <v/>
      </c>
      <c r="D98">
        <f>IFERROR(VLOOKUP(C98,VM_NORM!$A:$C,3,FALSE),"")</f>
        <v/>
      </c>
      <c r="E98">
        <f>IFERROR(VLOOKUP(D98,REF_VMBySerial!$A:$B,2,FALSE),"")</f>
        <v/>
      </c>
      <c r="F98">
        <f>SRC_Maint!D98</f>
        <v/>
      </c>
      <c r="G98">
        <f>IFERROR(VLOOKUP(F98,REF_UserByName!$A:$B,2,FALSE),"")</f>
        <v/>
      </c>
      <c r="H98">
        <f>SRC_Maint!B98</f>
        <v/>
      </c>
      <c r="I98">
        <f>SRC_Maint!E98</f>
        <v/>
      </c>
    </row>
    <row r="99">
      <c r="A99">
        <f>SRC_Maint!A99</f>
        <v/>
      </c>
      <c r="B99" s="4">
        <f>DATE(1899,12,30)+INT(A99)</f>
        <v/>
      </c>
      <c r="C99">
        <f>SRC_Maint!C99</f>
        <v/>
      </c>
      <c r="D99">
        <f>IFERROR(VLOOKUP(C99,VM_NORM!$A:$C,3,FALSE),"")</f>
        <v/>
      </c>
      <c r="E99">
        <f>IFERROR(VLOOKUP(D99,REF_VMBySerial!$A:$B,2,FALSE),"")</f>
        <v/>
      </c>
      <c r="F99">
        <f>SRC_Maint!D99</f>
        <v/>
      </c>
      <c r="G99">
        <f>IFERROR(VLOOKUP(F99,REF_UserByName!$A:$B,2,FALSE),"")</f>
        <v/>
      </c>
      <c r="H99">
        <f>SRC_Maint!B99</f>
        <v/>
      </c>
      <c r="I99">
        <f>SRC_Maint!E99</f>
        <v/>
      </c>
    </row>
    <row r="100">
      <c r="A100">
        <f>SRC_Maint!A100</f>
        <v/>
      </c>
      <c r="B100" s="4">
        <f>DATE(1899,12,30)+INT(A100)</f>
        <v/>
      </c>
      <c r="C100">
        <f>SRC_Maint!C100</f>
        <v/>
      </c>
      <c r="D100">
        <f>IFERROR(VLOOKUP(C100,VM_NORM!$A:$C,3,FALSE),"")</f>
        <v/>
      </c>
      <c r="E100">
        <f>IFERROR(VLOOKUP(D100,REF_VMBySerial!$A:$B,2,FALSE),"")</f>
        <v/>
      </c>
      <c r="F100">
        <f>SRC_Maint!D100</f>
        <v/>
      </c>
      <c r="G100">
        <f>IFERROR(VLOOKUP(F100,REF_UserByName!$A:$B,2,FALSE),"")</f>
        <v/>
      </c>
      <c r="H100">
        <f>SRC_Maint!B100</f>
        <v/>
      </c>
      <c r="I100">
        <f>SRC_Maint!E100</f>
        <v/>
      </c>
    </row>
    <row r="101">
      <c r="A101">
        <f>SRC_Maint!A101</f>
        <v/>
      </c>
      <c r="B101" s="4">
        <f>DATE(1899,12,30)+INT(A101)</f>
        <v/>
      </c>
      <c r="C101">
        <f>SRC_Maint!C101</f>
        <v/>
      </c>
      <c r="D101">
        <f>IFERROR(VLOOKUP(C101,VM_NORM!$A:$C,3,FALSE),"")</f>
        <v/>
      </c>
      <c r="E101">
        <f>IFERROR(VLOOKUP(D101,REF_VMBySerial!$A:$B,2,FALSE),"")</f>
        <v/>
      </c>
      <c r="F101">
        <f>SRC_Maint!D101</f>
        <v/>
      </c>
      <c r="G101">
        <f>IFERROR(VLOOKUP(F101,REF_UserByName!$A:$B,2,FALSE),"")</f>
        <v/>
      </c>
      <c r="H101">
        <f>SRC_Maint!B101</f>
        <v/>
      </c>
      <c r="I101">
        <f>SRC_Maint!E101</f>
        <v/>
      </c>
    </row>
  </sheetData>
  <autoFilter ref="A1:I1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0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Email</t>
        </is>
      </c>
      <c r="B1" s="2" t="inlineStr">
        <is>
          <t>Phone</t>
        </is>
      </c>
      <c r="C1" s="2" t="inlineStr">
        <is>
          <t>LastName</t>
        </is>
      </c>
      <c r="D1" s="2" t="inlineStr">
        <is>
          <t>FirstName</t>
        </is>
      </c>
      <c r="E1" s="2" t="inlineStr">
        <is>
          <t>Patronymic</t>
        </is>
      </c>
      <c r="F1" s="2" t="inlineStr">
        <is>
          <t>PasswordHash</t>
        </is>
      </c>
      <c r="G1" s="2" t="inlineStr">
        <is>
          <t>PasswordSalt</t>
        </is>
      </c>
      <c r="H1" s="2" t="inlineStr">
        <is>
          <t>PhotoUrl</t>
        </is>
      </c>
      <c r="I1" s="2" t="inlineStr">
        <is>
          <t>UserRoleId</t>
        </is>
      </c>
      <c r="J1" s="2" t="inlineStr">
        <is>
          <t>CompanyId</t>
        </is>
      </c>
      <c r="K1" s="2" t="inlineStr">
        <is>
          <t>IsActive</t>
        </is>
      </c>
    </row>
    <row r="2">
      <c r="A2">
        <f>USERS_NORM!B2</f>
        <v/>
      </c>
      <c r="B2">
        <f>USERS_NORM!C2</f>
        <v/>
      </c>
      <c r="C2">
        <f>USERS_NORM!E2</f>
        <v/>
      </c>
      <c r="D2">
        <f>USERS_NORM!F2</f>
        <v/>
      </c>
      <c r="E2">
        <f>USERS_NORM!G2</f>
        <v/>
      </c>
      <c r="F2">
        <f>USERS_NORM!R2</f>
        <v/>
      </c>
      <c r="G2">
        <f>USERS_NORM!Q2</f>
        <v/>
      </c>
      <c r="I2">
        <f>USERS_NORM!M2</f>
        <v/>
      </c>
      <c r="J2">
        <f>USERS_NORM!O2</f>
        <v/>
      </c>
      <c r="K2">
        <f>USERS_NORM!S2</f>
        <v/>
      </c>
    </row>
    <row r="3">
      <c r="A3">
        <f>USERS_NORM!B3</f>
        <v/>
      </c>
      <c r="B3">
        <f>USERS_NORM!C3</f>
        <v/>
      </c>
      <c r="C3">
        <f>USERS_NORM!E3</f>
        <v/>
      </c>
      <c r="D3">
        <f>USERS_NORM!F3</f>
        <v/>
      </c>
      <c r="E3">
        <f>USERS_NORM!G3</f>
        <v/>
      </c>
      <c r="F3">
        <f>USERS_NORM!R3</f>
        <v/>
      </c>
      <c r="G3">
        <f>USERS_NORM!Q3</f>
        <v/>
      </c>
      <c r="I3">
        <f>USERS_NORM!M3</f>
        <v/>
      </c>
      <c r="J3">
        <f>USERS_NORM!O3</f>
        <v/>
      </c>
      <c r="K3">
        <f>USERS_NORM!S3</f>
        <v/>
      </c>
    </row>
    <row r="4">
      <c r="A4">
        <f>USERS_NORM!B4</f>
        <v/>
      </c>
      <c r="B4">
        <f>USERS_NORM!C4</f>
        <v/>
      </c>
      <c r="C4">
        <f>USERS_NORM!E4</f>
        <v/>
      </c>
      <c r="D4">
        <f>USERS_NORM!F4</f>
        <v/>
      </c>
      <c r="E4">
        <f>USERS_NORM!G4</f>
        <v/>
      </c>
      <c r="F4">
        <f>USERS_NORM!R4</f>
        <v/>
      </c>
      <c r="G4">
        <f>USERS_NORM!Q4</f>
        <v/>
      </c>
      <c r="I4">
        <f>USERS_NORM!M4</f>
        <v/>
      </c>
      <c r="J4">
        <f>USERS_NORM!O4</f>
        <v/>
      </c>
      <c r="K4">
        <f>USERS_NORM!S4</f>
        <v/>
      </c>
    </row>
    <row r="5">
      <c r="A5">
        <f>USERS_NORM!B5</f>
        <v/>
      </c>
      <c r="B5">
        <f>USERS_NORM!C5</f>
        <v/>
      </c>
      <c r="C5">
        <f>USERS_NORM!E5</f>
        <v/>
      </c>
      <c r="D5">
        <f>USERS_NORM!F5</f>
        <v/>
      </c>
      <c r="E5">
        <f>USERS_NORM!G5</f>
        <v/>
      </c>
      <c r="F5">
        <f>USERS_NORM!R5</f>
        <v/>
      </c>
      <c r="G5">
        <f>USERS_NORM!Q5</f>
        <v/>
      </c>
      <c r="I5">
        <f>USERS_NORM!M5</f>
        <v/>
      </c>
      <c r="J5">
        <f>USERS_NORM!O5</f>
        <v/>
      </c>
      <c r="K5">
        <f>USERS_NORM!S5</f>
        <v/>
      </c>
    </row>
    <row r="6">
      <c r="A6">
        <f>USERS_NORM!B6</f>
        <v/>
      </c>
      <c r="B6">
        <f>USERS_NORM!C6</f>
        <v/>
      </c>
      <c r="C6">
        <f>USERS_NORM!E6</f>
        <v/>
      </c>
      <c r="D6">
        <f>USERS_NORM!F6</f>
        <v/>
      </c>
      <c r="E6">
        <f>USERS_NORM!G6</f>
        <v/>
      </c>
      <c r="F6">
        <f>USERS_NORM!R6</f>
        <v/>
      </c>
      <c r="G6">
        <f>USERS_NORM!Q6</f>
        <v/>
      </c>
      <c r="I6">
        <f>USERS_NORM!M6</f>
        <v/>
      </c>
      <c r="J6">
        <f>USERS_NORM!O6</f>
        <v/>
      </c>
      <c r="K6">
        <f>USERS_NORM!S6</f>
        <v/>
      </c>
    </row>
    <row r="7">
      <c r="A7">
        <f>USERS_NORM!B7</f>
        <v/>
      </c>
      <c r="B7">
        <f>USERS_NORM!C7</f>
        <v/>
      </c>
      <c r="C7">
        <f>USERS_NORM!E7</f>
        <v/>
      </c>
      <c r="D7">
        <f>USERS_NORM!F7</f>
        <v/>
      </c>
      <c r="E7">
        <f>USERS_NORM!G7</f>
        <v/>
      </c>
      <c r="F7">
        <f>USERS_NORM!R7</f>
        <v/>
      </c>
      <c r="G7">
        <f>USERS_NORM!Q7</f>
        <v/>
      </c>
      <c r="I7">
        <f>USERS_NORM!M7</f>
        <v/>
      </c>
      <c r="J7">
        <f>USERS_NORM!O7</f>
        <v/>
      </c>
      <c r="K7">
        <f>USERS_NORM!S7</f>
        <v/>
      </c>
    </row>
    <row r="8">
      <c r="A8">
        <f>USERS_NORM!B8</f>
        <v/>
      </c>
      <c r="B8">
        <f>USERS_NORM!C8</f>
        <v/>
      </c>
      <c r="C8">
        <f>USERS_NORM!E8</f>
        <v/>
      </c>
      <c r="D8">
        <f>USERS_NORM!F8</f>
        <v/>
      </c>
      <c r="E8">
        <f>USERS_NORM!G8</f>
        <v/>
      </c>
      <c r="F8">
        <f>USERS_NORM!R8</f>
        <v/>
      </c>
      <c r="G8">
        <f>USERS_NORM!Q8</f>
        <v/>
      </c>
      <c r="I8">
        <f>USERS_NORM!M8</f>
        <v/>
      </c>
      <c r="J8">
        <f>USERS_NORM!O8</f>
        <v/>
      </c>
      <c r="K8">
        <f>USERS_NORM!S8</f>
        <v/>
      </c>
    </row>
    <row r="9">
      <c r="A9">
        <f>USERS_NORM!B9</f>
        <v/>
      </c>
      <c r="B9">
        <f>USERS_NORM!C9</f>
        <v/>
      </c>
      <c r="C9">
        <f>USERS_NORM!E9</f>
        <v/>
      </c>
      <c r="D9">
        <f>USERS_NORM!F9</f>
        <v/>
      </c>
      <c r="E9">
        <f>USERS_NORM!G9</f>
        <v/>
      </c>
      <c r="F9">
        <f>USERS_NORM!R9</f>
        <v/>
      </c>
      <c r="G9">
        <f>USERS_NORM!Q9</f>
        <v/>
      </c>
      <c r="I9">
        <f>USERS_NORM!M9</f>
        <v/>
      </c>
      <c r="J9">
        <f>USERS_NORM!O9</f>
        <v/>
      </c>
      <c r="K9">
        <f>USERS_NORM!S9</f>
        <v/>
      </c>
    </row>
    <row r="10">
      <c r="A10">
        <f>USERS_NORM!B10</f>
        <v/>
      </c>
      <c r="B10">
        <f>USERS_NORM!C10</f>
        <v/>
      </c>
      <c r="C10">
        <f>USERS_NORM!E10</f>
        <v/>
      </c>
      <c r="D10">
        <f>USERS_NORM!F10</f>
        <v/>
      </c>
      <c r="E10">
        <f>USERS_NORM!G10</f>
        <v/>
      </c>
      <c r="F10">
        <f>USERS_NORM!R10</f>
        <v/>
      </c>
      <c r="G10">
        <f>USERS_NORM!Q10</f>
        <v/>
      </c>
      <c r="I10">
        <f>USERS_NORM!M10</f>
        <v/>
      </c>
      <c r="J10">
        <f>USERS_NORM!O10</f>
        <v/>
      </c>
      <c r="K10">
        <f>USERS_NORM!S10</f>
        <v/>
      </c>
    </row>
    <row r="11">
      <c r="A11">
        <f>USERS_NORM!B11</f>
        <v/>
      </c>
      <c r="B11">
        <f>USERS_NORM!C11</f>
        <v/>
      </c>
      <c r="C11">
        <f>USERS_NORM!E11</f>
        <v/>
      </c>
      <c r="D11">
        <f>USERS_NORM!F11</f>
        <v/>
      </c>
      <c r="E11">
        <f>USERS_NORM!G11</f>
        <v/>
      </c>
      <c r="F11">
        <f>USERS_NORM!R11</f>
        <v/>
      </c>
      <c r="G11">
        <f>USERS_NORM!Q11</f>
        <v/>
      </c>
      <c r="I11">
        <f>USERS_NORM!M11</f>
        <v/>
      </c>
      <c r="J11">
        <f>USERS_NORM!O11</f>
        <v/>
      </c>
      <c r="K11">
        <f>USERS_NORM!S11</f>
        <v/>
      </c>
    </row>
    <row r="12">
      <c r="A12">
        <f>USERS_NORM!B12</f>
        <v/>
      </c>
      <c r="B12">
        <f>USERS_NORM!C12</f>
        <v/>
      </c>
      <c r="C12">
        <f>USERS_NORM!E12</f>
        <v/>
      </c>
      <c r="D12">
        <f>USERS_NORM!F12</f>
        <v/>
      </c>
      <c r="E12">
        <f>USERS_NORM!G12</f>
        <v/>
      </c>
      <c r="F12">
        <f>USERS_NORM!R12</f>
        <v/>
      </c>
      <c r="G12">
        <f>USERS_NORM!Q12</f>
        <v/>
      </c>
      <c r="I12">
        <f>USERS_NORM!M12</f>
        <v/>
      </c>
      <c r="J12">
        <f>USERS_NORM!O12</f>
        <v/>
      </c>
      <c r="K12">
        <f>USERS_NORM!S12</f>
        <v/>
      </c>
    </row>
    <row r="13">
      <c r="A13">
        <f>USERS_NORM!B13</f>
        <v/>
      </c>
      <c r="B13">
        <f>USERS_NORM!C13</f>
        <v/>
      </c>
      <c r="C13">
        <f>USERS_NORM!E13</f>
        <v/>
      </c>
      <c r="D13">
        <f>USERS_NORM!F13</f>
        <v/>
      </c>
      <c r="E13">
        <f>USERS_NORM!G13</f>
        <v/>
      </c>
      <c r="F13">
        <f>USERS_NORM!R13</f>
        <v/>
      </c>
      <c r="G13">
        <f>USERS_NORM!Q13</f>
        <v/>
      </c>
      <c r="I13">
        <f>USERS_NORM!M13</f>
        <v/>
      </c>
      <c r="J13">
        <f>USERS_NORM!O13</f>
        <v/>
      </c>
      <c r="K13">
        <f>USERS_NORM!S13</f>
        <v/>
      </c>
    </row>
    <row r="14">
      <c r="A14">
        <f>USERS_NORM!B14</f>
        <v/>
      </c>
      <c r="B14">
        <f>USERS_NORM!C14</f>
        <v/>
      </c>
      <c r="C14">
        <f>USERS_NORM!E14</f>
        <v/>
      </c>
      <c r="D14">
        <f>USERS_NORM!F14</f>
        <v/>
      </c>
      <c r="E14">
        <f>USERS_NORM!G14</f>
        <v/>
      </c>
      <c r="F14">
        <f>USERS_NORM!R14</f>
        <v/>
      </c>
      <c r="G14">
        <f>USERS_NORM!Q14</f>
        <v/>
      </c>
      <c r="I14">
        <f>USERS_NORM!M14</f>
        <v/>
      </c>
      <c r="J14">
        <f>USERS_NORM!O14</f>
        <v/>
      </c>
      <c r="K14">
        <f>USERS_NORM!S14</f>
        <v/>
      </c>
    </row>
    <row r="15">
      <c r="A15">
        <f>USERS_NORM!B15</f>
        <v/>
      </c>
      <c r="B15">
        <f>USERS_NORM!C15</f>
        <v/>
      </c>
      <c r="C15">
        <f>USERS_NORM!E15</f>
        <v/>
      </c>
      <c r="D15">
        <f>USERS_NORM!F15</f>
        <v/>
      </c>
      <c r="E15">
        <f>USERS_NORM!G15</f>
        <v/>
      </c>
      <c r="F15">
        <f>USERS_NORM!R15</f>
        <v/>
      </c>
      <c r="G15">
        <f>USERS_NORM!Q15</f>
        <v/>
      </c>
      <c r="I15">
        <f>USERS_NORM!M15</f>
        <v/>
      </c>
      <c r="J15">
        <f>USERS_NORM!O15</f>
        <v/>
      </c>
      <c r="K15">
        <f>USERS_NORM!S15</f>
        <v/>
      </c>
    </row>
    <row r="16">
      <c r="A16">
        <f>USERS_NORM!B16</f>
        <v/>
      </c>
      <c r="B16">
        <f>USERS_NORM!C16</f>
        <v/>
      </c>
      <c r="C16">
        <f>USERS_NORM!E16</f>
        <v/>
      </c>
      <c r="D16">
        <f>USERS_NORM!F16</f>
        <v/>
      </c>
      <c r="E16">
        <f>USERS_NORM!G16</f>
        <v/>
      </c>
      <c r="F16">
        <f>USERS_NORM!R16</f>
        <v/>
      </c>
      <c r="G16">
        <f>USERS_NORM!Q16</f>
        <v/>
      </c>
      <c r="I16">
        <f>USERS_NORM!M16</f>
        <v/>
      </c>
      <c r="J16">
        <f>USERS_NORM!O16</f>
        <v/>
      </c>
      <c r="K16">
        <f>USERS_NORM!S16</f>
        <v/>
      </c>
    </row>
    <row r="17">
      <c r="A17">
        <f>USERS_NORM!B17</f>
        <v/>
      </c>
      <c r="B17">
        <f>USERS_NORM!C17</f>
        <v/>
      </c>
      <c r="C17">
        <f>USERS_NORM!E17</f>
        <v/>
      </c>
      <c r="D17">
        <f>USERS_NORM!F17</f>
        <v/>
      </c>
      <c r="E17">
        <f>USERS_NORM!G17</f>
        <v/>
      </c>
      <c r="F17">
        <f>USERS_NORM!R17</f>
        <v/>
      </c>
      <c r="G17">
        <f>USERS_NORM!Q17</f>
        <v/>
      </c>
      <c r="I17">
        <f>USERS_NORM!M17</f>
        <v/>
      </c>
      <c r="J17">
        <f>USERS_NORM!O17</f>
        <v/>
      </c>
      <c r="K17">
        <f>USERS_NORM!S17</f>
        <v/>
      </c>
    </row>
    <row r="18">
      <c r="A18">
        <f>USERS_NORM!B18</f>
        <v/>
      </c>
      <c r="B18">
        <f>USERS_NORM!C18</f>
        <v/>
      </c>
      <c r="C18">
        <f>USERS_NORM!E18</f>
        <v/>
      </c>
      <c r="D18">
        <f>USERS_NORM!F18</f>
        <v/>
      </c>
      <c r="E18">
        <f>USERS_NORM!G18</f>
        <v/>
      </c>
      <c r="F18">
        <f>USERS_NORM!R18</f>
        <v/>
      </c>
      <c r="G18">
        <f>USERS_NORM!Q18</f>
        <v/>
      </c>
      <c r="I18">
        <f>USERS_NORM!M18</f>
        <v/>
      </c>
      <c r="J18">
        <f>USERS_NORM!O18</f>
        <v/>
      </c>
      <c r="K18">
        <f>USERS_NORM!S18</f>
        <v/>
      </c>
    </row>
    <row r="19">
      <c r="A19">
        <f>USERS_NORM!B19</f>
        <v/>
      </c>
      <c r="B19">
        <f>USERS_NORM!C19</f>
        <v/>
      </c>
      <c r="C19">
        <f>USERS_NORM!E19</f>
        <v/>
      </c>
      <c r="D19">
        <f>USERS_NORM!F19</f>
        <v/>
      </c>
      <c r="E19">
        <f>USERS_NORM!G19</f>
        <v/>
      </c>
      <c r="F19">
        <f>USERS_NORM!R19</f>
        <v/>
      </c>
      <c r="G19">
        <f>USERS_NORM!Q19</f>
        <v/>
      </c>
      <c r="I19">
        <f>USERS_NORM!M19</f>
        <v/>
      </c>
      <c r="J19">
        <f>USERS_NORM!O19</f>
        <v/>
      </c>
      <c r="K19">
        <f>USERS_NORM!S19</f>
        <v/>
      </c>
    </row>
    <row r="20">
      <c r="A20">
        <f>USERS_NORM!B20</f>
        <v/>
      </c>
      <c r="B20">
        <f>USERS_NORM!C20</f>
        <v/>
      </c>
      <c r="C20">
        <f>USERS_NORM!E20</f>
        <v/>
      </c>
      <c r="D20">
        <f>USERS_NORM!F20</f>
        <v/>
      </c>
      <c r="E20">
        <f>USERS_NORM!G20</f>
        <v/>
      </c>
      <c r="F20">
        <f>USERS_NORM!R20</f>
        <v/>
      </c>
      <c r="G20">
        <f>USERS_NORM!Q20</f>
        <v/>
      </c>
      <c r="I20">
        <f>USERS_NORM!M20</f>
        <v/>
      </c>
      <c r="J20">
        <f>USERS_NORM!O20</f>
        <v/>
      </c>
      <c r="K20">
        <f>USERS_NORM!S20</f>
        <v/>
      </c>
    </row>
    <row r="21">
      <c r="A21">
        <f>USERS_NORM!B21</f>
        <v/>
      </c>
      <c r="B21">
        <f>USERS_NORM!C21</f>
        <v/>
      </c>
      <c r="C21">
        <f>USERS_NORM!E21</f>
        <v/>
      </c>
      <c r="D21">
        <f>USERS_NORM!F21</f>
        <v/>
      </c>
      <c r="E21">
        <f>USERS_NORM!G21</f>
        <v/>
      </c>
      <c r="F21">
        <f>USERS_NORM!R21</f>
        <v/>
      </c>
      <c r="G21">
        <f>USERS_NORM!Q21</f>
        <v/>
      </c>
      <c r="I21">
        <f>USERS_NORM!M21</f>
        <v/>
      </c>
      <c r="J21">
        <f>USERS_NORM!O21</f>
        <v/>
      </c>
      <c r="K21">
        <f>USERS_NORM!S21</f>
        <v/>
      </c>
    </row>
  </sheetData>
  <autoFilter ref="A1:K2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24" customWidth="1" min="5" max="5"/>
    <col width="19" customWidth="1" min="6" max="6"/>
    <col width="17" customWidth="1" min="7" max="7"/>
    <col width="14" customWidth="1" min="8" max="8"/>
    <col width="10" customWidth="1" min="9" max="9"/>
    <col width="14" customWidth="1" min="10" max="10"/>
    <col width="14" customWidth="1" min="11" max="11"/>
    <col width="42" customWidth="1" min="12" max="12"/>
    <col width="42" customWidth="1" min="13" max="13"/>
    <col width="17" customWidth="1" min="14" max="14"/>
    <col width="14" customWidth="1" min="15" max="15"/>
    <col width="17" customWidth="1" min="16" max="16"/>
    <col width="19" customWidth="1" min="17" max="17"/>
    <col width="22" customWidth="1" min="18" max="18"/>
    <col width="28" customWidth="1" min="19" max="19"/>
    <col width="15" customWidth="1" min="20" max="20"/>
    <col width="17" customWidth="1" min="21" max="21"/>
    <col width="22" customWidth="1" min="22" max="22"/>
    <col width="15" customWidth="1" min="23" max="23"/>
    <col width="14" customWidth="1" min="24" max="24"/>
    <col width="31" customWidth="1" min="25" max="25"/>
    <col width="17" customWidth="1" min="26" max="26"/>
    <col width="15" customWidth="1" min="27" max="27"/>
    <col width="26" customWidth="1" min="28" max="28"/>
    <col width="24" customWidth="1" min="29" max="29"/>
    <col width="22" customWidth="1" min="30" max="30"/>
    <col width="23" customWidth="1" min="31" max="31"/>
    <col width="33" customWidth="1" min="32" max="32"/>
    <col width="25" customWidth="1" min="33" max="33"/>
    <col width="15" customWidth="1" min="34" max="34"/>
  </cols>
  <sheetData>
    <row r="1">
      <c r="A1" s="2" t="inlineStr">
        <is>
          <t>Name</t>
        </is>
      </c>
      <c r="B1" s="2" t="inlineStr">
        <is>
          <t>VendingMachineModelId</t>
        </is>
      </c>
      <c r="C1" s="2" t="inlineStr">
        <is>
          <t>WorkModeId</t>
        </is>
      </c>
      <c r="D1" s="2" t="inlineStr">
        <is>
          <t>TimeZoneId</t>
        </is>
      </c>
      <c r="E1" s="2" t="inlineStr">
        <is>
          <t>VendingMachineStatusId</t>
        </is>
      </c>
      <c r="F1" s="2" t="inlineStr">
        <is>
          <t>ServicePriorityId</t>
        </is>
      </c>
      <c r="G1" s="2" t="inlineStr">
        <is>
          <t>ProductMatrixId</t>
        </is>
      </c>
      <c r="H1" s="2" t="inlineStr">
        <is>
          <t>CompanyId</t>
        </is>
      </c>
      <c r="I1" s="2" t="inlineStr">
        <is>
          <t>ModemId</t>
        </is>
      </c>
      <c r="J1" s="2" t="inlineStr">
        <is>
          <t>Address</t>
        </is>
      </c>
      <c r="K1" s="2" t="inlineStr">
        <is>
          <t>Place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InventoryNumber</t>
        </is>
      </c>
      <c r="O1" s="2" t="inlineStr">
        <is>
          <t>SerialNumber</t>
        </is>
      </c>
      <c r="P1" s="2" t="inlineStr">
        <is>
          <t>ManufactureDate</t>
        </is>
      </c>
      <c r="Q1" s="2" t="inlineStr">
        <is>
          <t>CommissioningDate</t>
        </is>
      </c>
      <c r="R1" s="2" t="inlineStr">
        <is>
          <t>LastVerificationDate</t>
        </is>
      </c>
      <c r="S1" s="2" t="inlineStr">
        <is>
          <t>VerificationIntervalMonths</t>
        </is>
      </c>
      <c r="T1" s="2" t="inlineStr">
        <is>
          <t>ResourceHours</t>
        </is>
      </c>
      <c r="U1" s="2" t="inlineStr">
        <is>
          <t>NextServiceDate</t>
        </is>
      </c>
      <c r="V1" s="2" t="inlineStr">
        <is>
          <t>ServiceDurationHours</t>
        </is>
      </c>
      <c r="W1" s="2" t="inlineStr">
        <is>
          <t>InventoryDate</t>
        </is>
      </c>
      <c r="X1" s="2" t="inlineStr">
        <is>
          <t>CountryId</t>
        </is>
      </c>
      <c r="Y1" s="2" t="inlineStr">
        <is>
          <t>LastVerificationUserAccountId</t>
        </is>
      </c>
      <c r="Z1" s="2" t="inlineStr">
        <is>
          <t>WorkingTimeFrom</t>
        </is>
      </c>
      <c r="AA1" s="2" t="inlineStr">
        <is>
          <t>WorkingTimeTo</t>
        </is>
      </c>
      <c r="AB1" s="2" t="inlineStr">
        <is>
          <t>CriticalValuesTemplateId</t>
        </is>
      </c>
      <c r="AC1" s="2" t="inlineStr">
        <is>
          <t>NotificationTemplateId</t>
        </is>
      </c>
      <c r="AD1" s="2" t="inlineStr">
        <is>
          <t>ManagerUserAccountId</t>
        </is>
      </c>
      <c r="AE1" s="2" t="inlineStr">
        <is>
          <t>EngineerUserAccountId</t>
        </is>
      </c>
      <c r="AF1" s="2" t="inlineStr">
        <is>
          <t>TechnicianOperatorUserAccountId</t>
        </is>
      </c>
      <c r="AG1" s="2" t="inlineStr">
        <is>
          <t>KitOnlineCashRegisterId</t>
        </is>
      </c>
      <c r="AH1" s="2" t="inlineStr">
        <is>
          <t>Notes</t>
        </is>
      </c>
    </row>
    <row r="2">
      <c r="A2">
        <f>VM_NORM!B2</f>
        <v/>
      </c>
      <c r="B2">
        <f>VM_NORM!H2</f>
        <v/>
      </c>
      <c r="C2">
        <f>VM_NORM!L2</f>
        <v/>
      </c>
      <c r="D2">
        <f>VM_NORM!N2</f>
        <v/>
      </c>
      <c r="E2">
        <f>VM_NORM!Q2</f>
        <v/>
      </c>
      <c r="F2">
        <f>VM_NORM!S2</f>
        <v/>
      </c>
      <c r="G2">
        <f>VM_NORM!U2</f>
        <v/>
      </c>
      <c r="H2">
        <f>VM_NORM!J2</f>
        <v/>
      </c>
      <c r="J2">
        <f>VM_NORM!X2</f>
        <v/>
      </c>
      <c r="K2">
        <f>VM_NORM!Y2</f>
        <v/>
      </c>
      <c r="L2">
        <f>IFERROR(VALUE(SUBSTITUTE(VM_NORM!Z2,".",",")),VM_NORM!Z2)</f>
        <v/>
      </c>
      <c r="M2">
        <f>IFERROR(VALUE(SUBSTITUTE(VM_NORM!AA2,".",",")),VM_NORM!AA2)</f>
        <v/>
      </c>
      <c r="N2">
        <f>VM_NORM!D2</f>
        <v/>
      </c>
      <c r="O2">
        <f>VM_NORM!C2</f>
        <v/>
      </c>
      <c r="P2" s="4">
        <f>VM_NORM!AB2</f>
        <v/>
      </c>
      <c r="Q2" s="4">
        <f>VM_NORM!AB2</f>
        <v/>
      </c>
      <c r="R2" s="4">
        <f>VM_NORM!AB2</f>
        <v/>
      </c>
      <c r="X2">
        <f>VM_NORM!W2</f>
        <v/>
      </c>
      <c r="Z2" s="5">
        <f>VM_NORM!AC2</f>
        <v/>
      </c>
      <c r="AA2" s="5">
        <f>VM_NORM!AD2</f>
        <v/>
      </c>
      <c r="AB2">
        <f>VM_NORM!AF2</f>
        <v/>
      </c>
      <c r="AC2">
        <f>VM_NORM!AH2</f>
        <v/>
      </c>
      <c r="AD2">
        <f>VM_NORM!AJ2</f>
        <v/>
      </c>
      <c r="AE2">
        <f>VM_NORM!AL2</f>
        <v/>
      </c>
      <c r="AF2">
        <f>VM_NORM!AN2</f>
        <v/>
      </c>
      <c r="AG2">
        <f>VM_NORM!AO2</f>
        <v/>
      </c>
      <c r="AH2">
        <f>VM_NORM!AP2</f>
        <v/>
      </c>
    </row>
    <row r="3">
      <c r="A3">
        <f>VM_NORM!B3</f>
        <v/>
      </c>
      <c r="B3">
        <f>VM_NORM!H3</f>
        <v/>
      </c>
      <c r="C3">
        <f>VM_NORM!L3</f>
        <v/>
      </c>
      <c r="D3">
        <f>VM_NORM!N3</f>
        <v/>
      </c>
      <c r="E3">
        <f>VM_NORM!Q3</f>
        <v/>
      </c>
      <c r="F3">
        <f>VM_NORM!S3</f>
        <v/>
      </c>
      <c r="G3">
        <f>VM_NORM!U3</f>
        <v/>
      </c>
      <c r="H3">
        <f>VM_NORM!J3</f>
        <v/>
      </c>
      <c r="J3">
        <f>VM_NORM!X3</f>
        <v/>
      </c>
      <c r="K3">
        <f>VM_NORM!Y3</f>
        <v/>
      </c>
      <c r="L3">
        <f>IFERROR(VALUE(SUBSTITUTE(VM_NORM!Z3,".",",")),VM_NORM!Z3)</f>
        <v/>
      </c>
      <c r="M3">
        <f>IFERROR(VALUE(SUBSTITUTE(VM_NORM!AA3,".",",")),VM_NORM!AA3)</f>
        <v/>
      </c>
      <c r="N3">
        <f>VM_NORM!D3</f>
        <v/>
      </c>
      <c r="O3">
        <f>VM_NORM!C3</f>
        <v/>
      </c>
      <c r="P3" s="4">
        <f>VM_NORM!AB3</f>
        <v/>
      </c>
      <c r="Q3" s="4">
        <f>VM_NORM!AB3</f>
        <v/>
      </c>
      <c r="R3" s="4">
        <f>VM_NORM!AB3</f>
        <v/>
      </c>
      <c r="X3">
        <f>VM_NORM!W3</f>
        <v/>
      </c>
      <c r="Z3" s="5">
        <f>VM_NORM!AC3</f>
        <v/>
      </c>
      <c r="AA3" s="5">
        <f>VM_NORM!AD3</f>
        <v/>
      </c>
      <c r="AB3">
        <f>VM_NORM!AF3</f>
        <v/>
      </c>
      <c r="AC3">
        <f>VM_NORM!AH3</f>
        <v/>
      </c>
      <c r="AD3">
        <f>VM_NORM!AJ3</f>
        <v/>
      </c>
      <c r="AE3">
        <f>VM_NORM!AL3</f>
        <v/>
      </c>
      <c r="AF3">
        <f>VM_NORM!AN3</f>
        <v/>
      </c>
      <c r="AG3">
        <f>VM_NORM!AO3</f>
        <v/>
      </c>
      <c r="AH3">
        <f>VM_NORM!AP3</f>
        <v/>
      </c>
    </row>
    <row r="4">
      <c r="A4">
        <f>VM_NORM!B4</f>
        <v/>
      </c>
      <c r="B4">
        <f>VM_NORM!H4</f>
        <v/>
      </c>
      <c r="C4">
        <f>VM_NORM!L4</f>
        <v/>
      </c>
      <c r="D4">
        <f>VM_NORM!N4</f>
        <v/>
      </c>
      <c r="E4">
        <f>VM_NORM!Q4</f>
        <v/>
      </c>
      <c r="F4">
        <f>VM_NORM!S4</f>
        <v/>
      </c>
      <c r="G4">
        <f>VM_NORM!U4</f>
        <v/>
      </c>
      <c r="H4">
        <f>VM_NORM!J4</f>
        <v/>
      </c>
      <c r="J4">
        <f>VM_NORM!X4</f>
        <v/>
      </c>
      <c r="K4">
        <f>VM_NORM!Y4</f>
        <v/>
      </c>
      <c r="L4">
        <f>IFERROR(VALUE(SUBSTITUTE(VM_NORM!Z4,".",",")),VM_NORM!Z4)</f>
        <v/>
      </c>
      <c r="M4">
        <f>IFERROR(VALUE(SUBSTITUTE(VM_NORM!AA4,".",",")),VM_NORM!AA4)</f>
        <v/>
      </c>
      <c r="N4">
        <f>VM_NORM!D4</f>
        <v/>
      </c>
      <c r="O4">
        <f>VM_NORM!C4</f>
        <v/>
      </c>
      <c r="P4" s="4">
        <f>VM_NORM!AB4</f>
        <v/>
      </c>
      <c r="Q4" s="4">
        <f>VM_NORM!AB4</f>
        <v/>
      </c>
      <c r="R4" s="4">
        <f>VM_NORM!AB4</f>
        <v/>
      </c>
      <c r="X4">
        <f>VM_NORM!W4</f>
        <v/>
      </c>
      <c r="Z4" s="5">
        <f>VM_NORM!AC4</f>
        <v/>
      </c>
      <c r="AA4" s="5">
        <f>VM_NORM!AD4</f>
        <v/>
      </c>
      <c r="AB4">
        <f>VM_NORM!AF4</f>
        <v/>
      </c>
      <c r="AC4">
        <f>VM_NORM!AH4</f>
        <v/>
      </c>
      <c r="AD4">
        <f>VM_NORM!AJ4</f>
        <v/>
      </c>
      <c r="AE4">
        <f>VM_NORM!AL4</f>
        <v/>
      </c>
      <c r="AF4">
        <f>VM_NORM!AN4</f>
        <v/>
      </c>
      <c r="AG4">
        <f>VM_NORM!AO4</f>
        <v/>
      </c>
      <c r="AH4">
        <f>VM_NORM!AP4</f>
        <v/>
      </c>
    </row>
    <row r="5">
      <c r="A5">
        <f>VM_NORM!B5</f>
        <v/>
      </c>
      <c r="B5">
        <f>VM_NORM!H5</f>
        <v/>
      </c>
      <c r="C5">
        <f>VM_NORM!L5</f>
        <v/>
      </c>
      <c r="D5">
        <f>VM_NORM!N5</f>
        <v/>
      </c>
      <c r="E5">
        <f>VM_NORM!Q5</f>
        <v/>
      </c>
      <c r="F5">
        <f>VM_NORM!S5</f>
        <v/>
      </c>
      <c r="G5">
        <f>VM_NORM!U5</f>
        <v/>
      </c>
      <c r="H5">
        <f>VM_NORM!J5</f>
        <v/>
      </c>
      <c r="J5">
        <f>VM_NORM!X5</f>
        <v/>
      </c>
      <c r="K5">
        <f>VM_NORM!Y5</f>
        <v/>
      </c>
      <c r="L5">
        <f>IFERROR(VALUE(SUBSTITUTE(VM_NORM!Z5,".",",")),VM_NORM!Z5)</f>
        <v/>
      </c>
      <c r="M5">
        <f>IFERROR(VALUE(SUBSTITUTE(VM_NORM!AA5,".",",")),VM_NORM!AA5)</f>
        <v/>
      </c>
      <c r="N5">
        <f>VM_NORM!D5</f>
        <v/>
      </c>
      <c r="O5">
        <f>VM_NORM!C5</f>
        <v/>
      </c>
      <c r="P5" s="4">
        <f>VM_NORM!AB5</f>
        <v/>
      </c>
      <c r="Q5" s="4">
        <f>VM_NORM!AB5</f>
        <v/>
      </c>
      <c r="R5" s="4">
        <f>VM_NORM!AB5</f>
        <v/>
      </c>
      <c r="X5">
        <f>VM_NORM!W5</f>
        <v/>
      </c>
      <c r="Z5" s="5">
        <f>VM_NORM!AC5</f>
        <v/>
      </c>
      <c r="AA5" s="5">
        <f>VM_NORM!AD5</f>
        <v/>
      </c>
      <c r="AB5">
        <f>VM_NORM!AF5</f>
        <v/>
      </c>
      <c r="AC5">
        <f>VM_NORM!AH5</f>
        <v/>
      </c>
      <c r="AD5">
        <f>VM_NORM!AJ5</f>
        <v/>
      </c>
      <c r="AE5">
        <f>VM_NORM!AL5</f>
        <v/>
      </c>
      <c r="AF5">
        <f>VM_NORM!AN5</f>
        <v/>
      </c>
      <c r="AG5">
        <f>VM_NORM!AO5</f>
        <v/>
      </c>
      <c r="AH5">
        <f>VM_NORM!AP5</f>
        <v/>
      </c>
    </row>
    <row r="6">
      <c r="A6">
        <f>VM_NORM!B6</f>
        <v/>
      </c>
      <c r="B6">
        <f>VM_NORM!H6</f>
        <v/>
      </c>
      <c r="C6">
        <f>VM_NORM!L6</f>
        <v/>
      </c>
      <c r="D6">
        <f>VM_NORM!N6</f>
        <v/>
      </c>
      <c r="E6">
        <f>VM_NORM!Q6</f>
        <v/>
      </c>
      <c r="F6">
        <f>VM_NORM!S6</f>
        <v/>
      </c>
      <c r="G6">
        <f>VM_NORM!U6</f>
        <v/>
      </c>
      <c r="H6">
        <f>VM_NORM!J6</f>
        <v/>
      </c>
      <c r="J6">
        <f>VM_NORM!X6</f>
        <v/>
      </c>
      <c r="K6">
        <f>VM_NORM!Y6</f>
        <v/>
      </c>
      <c r="L6">
        <f>IFERROR(VALUE(SUBSTITUTE(VM_NORM!Z6,".",",")),VM_NORM!Z6)</f>
        <v/>
      </c>
      <c r="M6">
        <f>IFERROR(VALUE(SUBSTITUTE(VM_NORM!AA6,".",",")),VM_NORM!AA6)</f>
        <v/>
      </c>
      <c r="N6">
        <f>VM_NORM!D6</f>
        <v/>
      </c>
      <c r="O6">
        <f>VM_NORM!C6</f>
        <v/>
      </c>
      <c r="P6" s="4">
        <f>VM_NORM!AB6</f>
        <v/>
      </c>
      <c r="Q6" s="4">
        <f>VM_NORM!AB6</f>
        <v/>
      </c>
      <c r="R6" s="4">
        <f>VM_NORM!AB6</f>
        <v/>
      </c>
      <c r="X6">
        <f>VM_NORM!W6</f>
        <v/>
      </c>
      <c r="Z6" s="5">
        <f>VM_NORM!AC6</f>
        <v/>
      </c>
      <c r="AA6" s="5">
        <f>VM_NORM!AD6</f>
        <v/>
      </c>
      <c r="AB6">
        <f>VM_NORM!AF6</f>
        <v/>
      </c>
      <c r="AC6">
        <f>VM_NORM!AH6</f>
        <v/>
      </c>
      <c r="AD6">
        <f>VM_NORM!AJ6</f>
        <v/>
      </c>
      <c r="AE6">
        <f>VM_NORM!AL6</f>
        <v/>
      </c>
      <c r="AF6">
        <f>VM_NORM!AN6</f>
        <v/>
      </c>
      <c r="AG6">
        <f>VM_NORM!AO6</f>
        <v/>
      </c>
      <c r="AH6">
        <f>VM_NORM!AP6</f>
        <v/>
      </c>
    </row>
    <row r="7">
      <c r="A7">
        <f>VM_NORM!B7</f>
        <v/>
      </c>
      <c r="B7">
        <f>VM_NORM!H7</f>
        <v/>
      </c>
      <c r="C7">
        <f>VM_NORM!L7</f>
        <v/>
      </c>
      <c r="D7">
        <f>VM_NORM!N7</f>
        <v/>
      </c>
      <c r="E7">
        <f>VM_NORM!Q7</f>
        <v/>
      </c>
      <c r="F7">
        <f>VM_NORM!S7</f>
        <v/>
      </c>
      <c r="G7">
        <f>VM_NORM!U7</f>
        <v/>
      </c>
      <c r="H7">
        <f>VM_NORM!J7</f>
        <v/>
      </c>
      <c r="J7">
        <f>VM_NORM!X7</f>
        <v/>
      </c>
      <c r="K7">
        <f>VM_NORM!Y7</f>
        <v/>
      </c>
      <c r="L7">
        <f>IFERROR(VALUE(SUBSTITUTE(VM_NORM!Z7,".",",")),VM_NORM!Z7)</f>
        <v/>
      </c>
      <c r="M7">
        <f>IFERROR(VALUE(SUBSTITUTE(VM_NORM!AA7,".",",")),VM_NORM!AA7)</f>
        <v/>
      </c>
      <c r="N7">
        <f>VM_NORM!D7</f>
        <v/>
      </c>
      <c r="O7">
        <f>VM_NORM!C7</f>
        <v/>
      </c>
      <c r="P7" s="4">
        <f>VM_NORM!AB7</f>
        <v/>
      </c>
      <c r="Q7" s="4">
        <f>VM_NORM!AB7</f>
        <v/>
      </c>
      <c r="R7" s="4">
        <f>VM_NORM!AB7</f>
        <v/>
      </c>
      <c r="X7">
        <f>VM_NORM!W7</f>
        <v/>
      </c>
      <c r="Z7" s="5">
        <f>VM_NORM!AC7</f>
        <v/>
      </c>
      <c r="AA7" s="5">
        <f>VM_NORM!AD7</f>
        <v/>
      </c>
      <c r="AB7">
        <f>VM_NORM!AF7</f>
        <v/>
      </c>
      <c r="AC7">
        <f>VM_NORM!AH7</f>
        <v/>
      </c>
      <c r="AD7">
        <f>VM_NORM!AJ7</f>
        <v/>
      </c>
      <c r="AE7">
        <f>VM_NORM!AL7</f>
        <v/>
      </c>
      <c r="AF7">
        <f>VM_NORM!AN7</f>
        <v/>
      </c>
      <c r="AG7">
        <f>VM_NORM!AO7</f>
        <v/>
      </c>
      <c r="AH7">
        <f>VM_NORM!AP7</f>
        <v/>
      </c>
    </row>
    <row r="8">
      <c r="A8">
        <f>VM_NORM!B8</f>
        <v/>
      </c>
      <c r="B8">
        <f>VM_NORM!H8</f>
        <v/>
      </c>
      <c r="C8">
        <f>VM_NORM!L8</f>
        <v/>
      </c>
      <c r="D8">
        <f>VM_NORM!N8</f>
        <v/>
      </c>
      <c r="E8">
        <f>VM_NORM!Q8</f>
        <v/>
      </c>
      <c r="F8">
        <f>VM_NORM!S8</f>
        <v/>
      </c>
      <c r="G8">
        <f>VM_NORM!U8</f>
        <v/>
      </c>
      <c r="H8">
        <f>VM_NORM!J8</f>
        <v/>
      </c>
      <c r="J8">
        <f>VM_NORM!X8</f>
        <v/>
      </c>
      <c r="K8">
        <f>VM_NORM!Y8</f>
        <v/>
      </c>
      <c r="L8">
        <f>IFERROR(VALUE(SUBSTITUTE(VM_NORM!Z8,".",",")),VM_NORM!Z8)</f>
        <v/>
      </c>
      <c r="M8">
        <f>IFERROR(VALUE(SUBSTITUTE(VM_NORM!AA8,".",",")),VM_NORM!AA8)</f>
        <v/>
      </c>
      <c r="N8">
        <f>VM_NORM!D8</f>
        <v/>
      </c>
      <c r="O8">
        <f>VM_NORM!C8</f>
        <v/>
      </c>
      <c r="P8" s="4">
        <f>VM_NORM!AB8</f>
        <v/>
      </c>
      <c r="Q8" s="4">
        <f>VM_NORM!AB8</f>
        <v/>
      </c>
      <c r="R8" s="4">
        <f>VM_NORM!AB8</f>
        <v/>
      </c>
      <c r="X8">
        <f>VM_NORM!W8</f>
        <v/>
      </c>
      <c r="Z8" s="5">
        <f>VM_NORM!AC8</f>
        <v/>
      </c>
      <c r="AA8" s="5">
        <f>VM_NORM!AD8</f>
        <v/>
      </c>
      <c r="AB8">
        <f>VM_NORM!AF8</f>
        <v/>
      </c>
      <c r="AC8">
        <f>VM_NORM!AH8</f>
        <v/>
      </c>
      <c r="AD8">
        <f>VM_NORM!AJ8</f>
        <v/>
      </c>
      <c r="AE8">
        <f>VM_NORM!AL8</f>
        <v/>
      </c>
      <c r="AF8">
        <f>VM_NORM!AN8</f>
        <v/>
      </c>
      <c r="AG8">
        <f>VM_NORM!AO8</f>
        <v/>
      </c>
      <c r="AH8">
        <f>VM_NORM!AP8</f>
        <v/>
      </c>
    </row>
    <row r="9">
      <c r="A9">
        <f>VM_NORM!B9</f>
        <v/>
      </c>
      <c r="B9">
        <f>VM_NORM!H9</f>
        <v/>
      </c>
      <c r="C9">
        <f>VM_NORM!L9</f>
        <v/>
      </c>
      <c r="D9">
        <f>VM_NORM!N9</f>
        <v/>
      </c>
      <c r="E9">
        <f>VM_NORM!Q9</f>
        <v/>
      </c>
      <c r="F9">
        <f>VM_NORM!S9</f>
        <v/>
      </c>
      <c r="G9">
        <f>VM_NORM!U9</f>
        <v/>
      </c>
      <c r="H9">
        <f>VM_NORM!J9</f>
        <v/>
      </c>
      <c r="J9">
        <f>VM_NORM!X9</f>
        <v/>
      </c>
      <c r="K9">
        <f>VM_NORM!Y9</f>
        <v/>
      </c>
      <c r="L9">
        <f>IFERROR(VALUE(SUBSTITUTE(VM_NORM!Z9,".",",")),VM_NORM!Z9)</f>
        <v/>
      </c>
      <c r="M9">
        <f>IFERROR(VALUE(SUBSTITUTE(VM_NORM!AA9,".",",")),VM_NORM!AA9)</f>
        <v/>
      </c>
      <c r="N9">
        <f>VM_NORM!D9</f>
        <v/>
      </c>
      <c r="O9">
        <f>VM_NORM!C9</f>
        <v/>
      </c>
      <c r="P9" s="4">
        <f>VM_NORM!AB9</f>
        <v/>
      </c>
      <c r="Q9" s="4">
        <f>VM_NORM!AB9</f>
        <v/>
      </c>
      <c r="R9" s="4">
        <f>VM_NORM!AB9</f>
        <v/>
      </c>
      <c r="X9">
        <f>VM_NORM!W9</f>
        <v/>
      </c>
      <c r="Z9" s="5">
        <f>VM_NORM!AC9</f>
        <v/>
      </c>
      <c r="AA9" s="5">
        <f>VM_NORM!AD9</f>
        <v/>
      </c>
      <c r="AB9">
        <f>VM_NORM!AF9</f>
        <v/>
      </c>
      <c r="AC9">
        <f>VM_NORM!AH9</f>
        <v/>
      </c>
      <c r="AD9">
        <f>VM_NORM!AJ9</f>
        <v/>
      </c>
      <c r="AE9">
        <f>VM_NORM!AL9</f>
        <v/>
      </c>
      <c r="AF9">
        <f>VM_NORM!AN9</f>
        <v/>
      </c>
      <c r="AG9">
        <f>VM_NORM!AO9</f>
        <v/>
      </c>
      <c r="AH9">
        <f>VM_NORM!AP9</f>
        <v/>
      </c>
    </row>
    <row r="10">
      <c r="A10">
        <f>VM_NORM!B10</f>
        <v/>
      </c>
      <c r="B10">
        <f>VM_NORM!H10</f>
        <v/>
      </c>
      <c r="C10">
        <f>VM_NORM!L10</f>
        <v/>
      </c>
      <c r="D10">
        <f>VM_NORM!N10</f>
        <v/>
      </c>
      <c r="E10">
        <f>VM_NORM!Q10</f>
        <v/>
      </c>
      <c r="F10">
        <f>VM_NORM!S10</f>
        <v/>
      </c>
      <c r="G10">
        <f>VM_NORM!U10</f>
        <v/>
      </c>
      <c r="H10">
        <f>VM_NORM!J10</f>
        <v/>
      </c>
      <c r="J10">
        <f>VM_NORM!X10</f>
        <v/>
      </c>
      <c r="K10">
        <f>VM_NORM!Y10</f>
        <v/>
      </c>
      <c r="L10">
        <f>IFERROR(VALUE(SUBSTITUTE(VM_NORM!Z10,".",",")),VM_NORM!Z10)</f>
        <v/>
      </c>
      <c r="M10">
        <f>IFERROR(VALUE(SUBSTITUTE(VM_NORM!AA10,".",",")),VM_NORM!AA10)</f>
        <v/>
      </c>
      <c r="N10">
        <f>VM_NORM!D10</f>
        <v/>
      </c>
      <c r="O10">
        <f>VM_NORM!C10</f>
        <v/>
      </c>
      <c r="P10" s="4">
        <f>VM_NORM!AB10</f>
        <v/>
      </c>
      <c r="Q10" s="4">
        <f>VM_NORM!AB10</f>
        <v/>
      </c>
      <c r="R10" s="4">
        <f>VM_NORM!AB10</f>
        <v/>
      </c>
      <c r="X10">
        <f>VM_NORM!W10</f>
        <v/>
      </c>
      <c r="Z10" s="5">
        <f>VM_NORM!AC10</f>
        <v/>
      </c>
      <c r="AA10" s="5">
        <f>VM_NORM!AD10</f>
        <v/>
      </c>
      <c r="AB10">
        <f>VM_NORM!AF10</f>
        <v/>
      </c>
      <c r="AC10">
        <f>VM_NORM!AH10</f>
        <v/>
      </c>
      <c r="AD10">
        <f>VM_NORM!AJ10</f>
        <v/>
      </c>
      <c r="AE10">
        <f>VM_NORM!AL10</f>
        <v/>
      </c>
      <c r="AF10">
        <f>VM_NORM!AN10</f>
        <v/>
      </c>
      <c r="AG10">
        <f>VM_NORM!AO10</f>
        <v/>
      </c>
      <c r="AH10">
        <f>VM_NORM!AP10</f>
        <v/>
      </c>
    </row>
    <row r="11">
      <c r="A11">
        <f>VM_NORM!B11</f>
        <v/>
      </c>
      <c r="B11">
        <f>VM_NORM!H11</f>
        <v/>
      </c>
      <c r="C11">
        <f>VM_NORM!L11</f>
        <v/>
      </c>
      <c r="D11">
        <f>VM_NORM!N11</f>
        <v/>
      </c>
      <c r="E11">
        <f>VM_NORM!Q11</f>
        <v/>
      </c>
      <c r="F11">
        <f>VM_NORM!S11</f>
        <v/>
      </c>
      <c r="G11">
        <f>VM_NORM!U11</f>
        <v/>
      </c>
      <c r="H11">
        <f>VM_NORM!J11</f>
        <v/>
      </c>
      <c r="J11">
        <f>VM_NORM!X11</f>
        <v/>
      </c>
      <c r="K11">
        <f>VM_NORM!Y11</f>
        <v/>
      </c>
      <c r="L11">
        <f>IFERROR(VALUE(SUBSTITUTE(VM_NORM!Z11,".",",")),VM_NORM!Z11)</f>
        <v/>
      </c>
      <c r="M11">
        <f>IFERROR(VALUE(SUBSTITUTE(VM_NORM!AA11,".",",")),VM_NORM!AA11)</f>
        <v/>
      </c>
      <c r="N11">
        <f>VM_NORM!D11</f>
        <v/>
      </c>
      <c r="O11">
        <f>VM_NORM!C11</f>
        <v/>
      </c>
      <c r="P11" s="4">
        <f>VM_NORM!AB11</f>
        <v/>
      </c>
      <c r="Q11" s="4">
        <f>VM_NORM!AB11</f>
        <v/>
      </c>
      <c r="R11" s="4">
        <f>VM_NORM!AB11</f>
        <v/>
      </c>
      <c r="X11">
        <f>VM_NORM!W11</f>
        <v/>
      </c>
      <c r="Z11" s="5">
        <f>VM_NORM!AC11</f>
        <v/>
      </c>
      <c r="AA11" s="5">
        <f>VM_NORM!AD11</f>
        <v/>
      </c>
      <c r="AB11">
        <f>VM_NORM!AF11</f>
        <v/>
      </c>
      <c r="AC11">
        <f>VM_NORM!AH11</f>
        <v/>
      </c>
      <c r="AD11">
        <f>VM_NORM!AJ11</f>
        <v/>
      </c>
      <c r="AE11">
        <f>VM_NORM!AL11</f>
        <v/>
      </c>
      <c r="AF11">
        <f>VM_NORM!AN11</f>
        <v/>
      </c>
      <c r="AG11">
        <f>VM_NORM!AO11</f>
        <v/>
      </c>
      <c r="AH11">
        <f>VM_NORM!AP11</f>
        <v/>
      </c>
    </row>
  </sheetData>
  <autoFilter ref="A1:AH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Name</t>
        </is>
      </c>
      <c r="B1" s="2" t="inlineStr">
        <is>
          <t>Description</t>
        </is>
      </c>
      <c r="C1" s="2" t="inlineStr">
        <is>
          <t>Price</t>
        </is>
      </c>
    </row>
    <row r="2">
      <c r="A2">
        <f>PRODUCTS_NORM!B2</f>
        <v/>
      </c>
      <c r="B2">
        <f>PRODUCTS_NORM!C2</f>
        <v/>
      </c>
      <c r="C2">
        <f>PRODUCTS_NORM!D2</f>
        <v/>
      </c>
    </row>
    <row r="3">
      <c r="A3">
        <f>PRODUCTS_NORM!B3</f>
        <v/>
      </c>
      <c r="B3">
        <f>PRODUCTS_NORM!C3</f>
        <v/>
      </c>
      <c r="C3">
        <f>PRODUCTS_NORM!D3</f>
        <v/>
      </c>
    </row>
    <row r="4">
      <c r="A4">
        <f>PRODUCTS_NORM!B4</f>
        <v/>
      </c>
      <c r="B4">
        <f>PRODUCTS_NORM!C4</f>
        <v/>
      </c>
      <c r="C4">
        <f>PRODUCTS_NORM!D4</f>
        <v/>
      </c>
    </row>
    <row r="5">
      <c r="A5">
        <f>PRODUCTS_NORM!B5</f>
        <v/>
      </c>
      <c r="B5">
        <f>PRODUCTS_NORM!C5</f>
        <v/>
      </c>
      <c r="C5">
        <f>PRODUCTS_NORM!D5</f>
        <v/>
      </c>
    </row>
    <row r="6">
      <c r="A6">
        <f>PRODUCTS_NORM!B6</f>
        <v/>
      </c>
      <c r="B6">
        <f>PRODUCTS_NORM!C6</f>
        <v/>
      </c>
      <c r="C6">
        <f>PRODUCTS_NORM!D6</f>
        <v/>
      </c>
    </row>
    <row r="7">
      <c r="A7">
        <f>PRODUCTS_NORM!B7</f>
        <v/>
      </c>
      <c r="B7">
        <f>PRODUCTS_NORM!C7</f>
        <v/>
      </c>
      <c r="C7">
        <f>PRODUCTS_NORM!D7</f>
        <v/>
      </c>
    </row>
    <row r="8">
      <c r="A8">
        <f>PRODUCTS_NORM!B8</f>
        <v/>
      </c>
      <c r="B8">
        <f>PRODUCTS_NORM!C8</f>
        <v/>
      </c>
      <c r="C8">
        <f>PRODUCTS_NORM!D8</f>
        <v/>
      </c>
    </row>
    <row r="9">
      <c r="A9">
        <f>PRODUCTS_NORM!B9</f>
        <v/>
      </c>
      <c r="B9">
        <f>PRODUCTS_NORM!C9</f>
        <v/>
      </c>
      <c r="C9">
        <f>PRODUCTS_NORM!D9</f>
        <v/>
      </c>
    </row>
    <row r="10">
      <c r="A10">
        <f>PRODUCTS_NORM!B10</f>
        <v/>
      </c>
      <c r="B10">
        <f>PRODUCTS_NORM!C10</f>
        <v/>
      </c>
      <c r="C10">
        <f>PRODUCTS_NORM!D10</f>
        <v/>
      </c>
    </row>
    <row r="11">
      <c r="A11">
        <f>PRODUCTS_NORM!B11</f>
        <v/>
      </c>
      <c r="B11">
        <f>PRODUCTS_NORM!C11</f>
        <v/>
      </c>
      <c r="C11">
        <f>PRODUCTS_NORM!D11</f>
        <v/>
      </c>
    </row>
    <row r="12">
      <c r="A12">
        <f>PRODUCTS_NORM!B12</f>
        <v/>
      </c>
      <c r="B12">
        <f>PRODUCTS_NORM!C12</f>
        <v/>
      </c>
      <c r="C12">
        <f>PRODUCTS_NORM!D12</f>
        <v/>
      </c>
    </row>
    <row r="13">
      <c r="A13">
        <f>PRODUCTS_NORM!B13</f>
        <v/>
      </c>
      <c r="B13">
        <f>PRODUCTS_NORM!C13</f>
        <v/>
      </c>
      <c r="C13">
        <f>PRODUCTS_NORM!D13</f>
        <v/>
      </c>
    </row>
    <row r="14">
      <c r="A14">
        <f>PRODUCTS_NORM!B14</f>
        <v/>
      </c>
      <c r="B14">
        <f>PRODUCTS_NORM!C14</f>
        <v/>
      </c>
      <c r="C14">
        <f>PRODUCTS_NORM!D14</f>
        <v/>
      </c>
    </row>
    <row r="15">
      <c r="A15">
        <f>PRODUCTS_NORM!B15</f>
        <v/>
      </c>
      <c r="B15">
        <f>PRODUCTS_NORM!C15</f>
        <v/>
      </c>
      <c r="C15">
        <f>PRODUCTS_NORM!D15</f>
        <v/>
      </c>
    </row>
    <row r="16">
      <c r="A16">
        <f>PRODUCTS_NORM!B16</f>
        <v/>
      </c>
      <c r="B16">
        <f>PRODUCTS_NORM!C16</f>
        <v/>
      </c>
      <c r="C16">
        <f>PRODUCTS_NORM!D16</f>
        <v/>
      </c>
    </row>
    <row r="17">
      <c r="A17">
        <f>PRODUCTS_NORM!B17</f>
        <v/>
      </c>
      <c r="B17">
        <f>PRODUCTS_NORM!C17</f>
        <v/>
      </c>
      <c r="C17">
        <f>PRODUCTS_NORM!D17</f>
        <v/>
      </c>
    </row>
    <row r="18">
      <c r="A18">
        <f>PRODUCTS_NORM!B18</f>
        <v/>
      </c>
      <c r="B18">
        <f>PRODUCTS_NORM!C18</f>
        <v/>
      </c>
      <c r="C18">
        <f>PRODUCTS_NORM!D18</f>
        <v/>
      </c>
    </row>
    <row r="19">
      <c r="A19">
        <f>PRODUCTS_NORM!B19</f>
        <v/>
      </c>
      <c r="B19">
        <f>PRODUCTS_NORM!C19</f>
        <v/>
      </c>
      <c r="C19">
        <f>PRODUCTS_NORM!D19</f>
        <v/>
      </c>
    </row>
    <row r="20">
      <c r="A20">
        <f>PRODUCTS_NORM!B20</f>
        <v/>
      </c>
      <c r="B20">
        <f>PRODUCTS_NORM!C20</f>
        <v/>
      </c>
      <c r="C20">
        <f>PRODUCTS_NORM!D20</f>
        <v/>
      </c>
    </row>
    <row r="21">
      <c r="A21">
        <f>PRODUCTS_NORM!B21</f>
        <v/>
      </c>
      <c r="B21">
        <f>PRODUCTS_NORM!C21</f>
        <v/>
      </c>
      <c r="C21">
        <f>PRODUCTS_NORM!D21</f>
        <v/>
      </c>
    </row>
    <row r="22">
      <c r="A22">
        <f>PRODUCTS_NORM!B22</f>
        <v/>
      </c>
      <c r="B22">
        <f>PRODUCTS_NORM!C22</f>
        <v/>
      </c>
      <c r="C22">
        <f>PRODUCTS_NORM!D22</f>
        <v/>
      </c>
    </row>
    <row r="23">
      <c r="A23">
        <f>PRODUCTS_NORM!B23</f>
        <v/>
      </c>
      <c r="B23">
        <f>PRODUCTS_NORM!C23</f>
        <v/>
      </c>
      <c r="C23">
        <f>PRODUCTS_NORM!D23</f>
        <v/>
      </c>
    </row>
    <row r="24">
      <c r="A24">
        <f>PRODUCTS_NORM!B24</f>
        <v/>
      </c>
      <c r="B24">
        <f>PRODUCTS_NORM!C24</f>
        <v/>
      </c>
      <c r="C24">
        <f>PRODUCTS_NORM!D24</f>
        <v/>
      </c>
    </row>
    <row r="25">
      <c r="A25">
        <f>PRODUCTS_NORM!B25</f>
        <v/>
      </c>
      <c r="B25">
        <f>PRODUCTS_NORM!C25</f>
        <v/>
      </c>
      <c r="C25">
        <f>PRODUCTS_NORM!D25</f>
        <v/>
      </c>
    </row>
    <row r="26">
      <c r="A26">
        <f>PRODUCTS_NORM!B26</f>
        <v/>
      </c>
      <c r="B26">
        <f>PRODUCTS_NORM!C26</f>
        <v/>
      </c>
      <c r="C26">
        <f>PRODUCTS_NORM!D26</f>
        <v/>
      </c>
    </row>
    <row r="27">
      <c r="A27">
        <f>PRODUCTS_NORM!B27</f>
        <v/>
      </c>
      <c r="B27">
        <f>PRODUCTS_NORM!C27</f>
        <v/>
      </c>
      <c r="C27">
        <f>PRODUCTS_NORM!D27</f>
        <v/>
      </c>
    </row>
    <row r="28">
      <c r="A28">
        <f>PRODUCTS_NORM!B28</f>
        <v/>
      </c>
      <c r="B28">
        <f>PRODUCTS_NORM!C28</f>
        <v/>
      </c>
      <c r="C28">
        <f>PRODUCTS_NORM!D28</f>
        <v/>
      </c>
    </row>
    <row r="29">
      <c r="A29">
        <f>PRODUCTS_NORM!B29</f>
        <v/>
      </c>
      <c r="B29">
        <f>PRODUCTS_NORM!C29</f>
        <v/>
      </c>
      <c r="C29">
        <f>PRODUCTS_NORM!D29</f>
        <v/>
      </c>
    </row>
    <row r="30">
      <c r="A30">
        <f>PRODUCTS_NORM!B30</f>
        <v/>
      </c>
      <c r="B30">
        <f>PRODUCTS_NORM!C30</f>
        <v/>
      </c>
      <c r="C30">
        <f>PRODUCTS_NORM!D30</f>
        <v/>
      </c>
    </row>
    <row r="31">
      <c r="A31">
        <f>PRODUCTS_NORM!B31</f>
        <v/>
      </c>
      <c r="B31">
        <f>PRODUCTS_NORM!C31</f>
        <v/>
      </c>
      <c r="C31">
        <f>PRODUCTS_NORM!D31</f>
        <v/>
      </c>
    </row>
    <row r="32">
      <c r="A32">
        <f>PRODUCTS_NORM!B32</f>
        <v/>
      </c>
      <c r="B32">
        <f>PRODUCTS_NORM!C32</f>
        <v/>
      </c>
      <c r="C32">
        <f>PRODUCTS_NORM!D32</f>
        <v/>
      </c>
    </row>
    <row r="33">
      <c r="A33">
        <f>PRODUCTS_NORM!B33</f>
        <v/>
      </c>
      <c r="B33">
        <f>PRODUCTS_NORM!C33</f>
        <v/>
      </c>
      <c r="C33">
        <f>PRODUCTS_NORM!D33</f>
        <v/>
      </c>
    </row>
    <row r="34">
      <c r="A34">
        <f>PRODUCTS_NORM!B34</f>
        <v/>
      </c>
      <c r="B34">
        <f>PRODUCTS_NORM!C34</f>
        <v/>
      </c>
      <c r="C34">
        <f>PRODUCTS_NORM!D34</f>
        <v/>
      </c>
    </row>
    <row r="35">
      <c r="A35">
        <f>PRODUCTS_NORM!B35</f>
        <v/>
      </c>
      <c r="B35">
        <f>PRODUCTS_NORM!C35</f>
        <v/>
      </c>
      <c r="C35">
        <f>PRODUCTS_NORM!D35</f>
        <v/>
      </c>
    </row>
    <row r="36">
      <c r="A36">
        <f>PRODUCTS_NORM!B36</f>
        <v/>
      </c>
      <c r="B36">
        <f>PRODUCTS_NORM!C36</f>
        <v/>
      </c>
      <c r="C36">
        <f>PRODUCTS_NORM!D36</f>
        <v/>
      </c>
    </row>
    <row r="37">
      <c r="A37">
        <f>PRODUCTS_NORM!B37</f>
        <v/>
      </c>
      <c r="B37">
        <f>PRODUCTS_NORM!C37</f>
        <v/>
      </c>
      <c r="C37">
        <f>PRODUCTS_NORM!D37</f>
        <v/>
      </c>
    </row>
    <row r="38">
      <c r="A38">
        <f>PRODUCTS_NORM!B38</f>
        <v/>
      </c>
      <c r="B38">
        <f>PRODUCTS_NORM!C38</f>
        <v/>
      </c>
      <c r="C38">
        <f>PRODUCTS_NORM!D38</f>
        <v/>
      </c>
    </row>
    <row r="39">
      <c r="A39">
        <f>PRODUCTS_NORM!B39</f>
        <v/>
      </c>
      <c r="B39">
        <f>PRODUCTS_NORM!C39</f>
        <v/>
      </c>
      <c r="C39">
        <f>PRODUCTS_NORM!D39</f>
        <v/>
      </c>
    </row>
    <row r="40">
      <c r="A40">
        <f>PRODUCTS_NORM!B40</f>
        <v/>
      </c>
      <c r="B40">
        <f>PRODUCTS_NORM!C40</f>
        <v/>
      </c>
      <c r="C40">
        <f>PRODUCTS_NORM!D40</f>
        <v/>
      </c>
    </row>
    <row r="41">
      <c r="A41">
        <f>PRODUCTS_NORM!B41</f>
        <v/>
      </c>
      <c r="B41">
        <f>PRODUCTS_NORM!C41</f>
        <v/>
      </c>
      <c r="C41">
        <f>PRODUCTS_NORM!D41</f>
        <v/>
      </c>
    </row>
    <row r="42">
      <c r="A42">
        <f>PRODUCTS_NORM!B42</f>
        <v/>
      </c>
      <c r="B42">
        <f>PRODUCTS_NORM!C42</f>
        <v/>
      </c>
      <c r="C42">
        <f>PRODUCTS_NORM!D42</f>
        <v/>
      </c>
    </row>
    <row r="43">
      <c r="A43">
        <f>PRODUCTS_NORM!B43</f>
        <v/>
      </c>
      <c r="B43">
        <f>PRODUCTS_NORM!C43</f>
        <v/>
      </c>
      <c r="C43">
        <f>PRODUCTS_NORM!D43</f>
        <v/>
      </c>
    </row>
    <row r="44">
      <c r="A44">
        <f>PRODUCTS_NORM!B44</f>
        <v/>
      </c>
      <c r="B44">
        <f>PRODUCTS_NORM!C44</f>
        <v/>
      </c>
      <c r="C44">
        <f>PRODUCTS_NORM!D44</f>
        <v/>
      </c>
    </row>
    <row r="45">
      <c r="A45">
        <f>PRODUCTS_NORM!B45</f>
        <v/>
      </c>
      <c r="B45">
        <f>PRODUCTS_NORM!C45</f>
        <v/>
      </c>
      <c r="C45">
        <f>PRODUCTS_NORM!D45</f>
        <v/>
      </c>
    </row>
    <row r="46">
      <c r="A46">
        <f>PRODUCTS_NORM!B46</f>
        <v/>
      </c>
      <c r="B46">
        <f>PRODUCTS_NORM!C46</f>
        <v/>
      </c>
      <c r="C46">
        <f>PRODUCTS_NORM!D46</f>
        <v/>
      </c>
    </row>
    <row r="47">
      <c r="A47">
        <f>PRODUCTS_NORM!B47</f>
        <v/>
      </c>
      <c r="B47">
        <f>PRODUCTS_NORM!C47</f>
        <v/>
      </c>
      <c r="C47">
        <f>PRODUCTS_NORM!D47</f>
        <v/>
      </c>
    </row>
    <row r="48">
      <c r="A48">
        <f>PRODUCTS_NORM!B48</f>
        <v/>
      </c>
      <c r="B48">
        <f>PRODUCTS_NORM!C48</f>
        <v/>
      </c>
      <c r="C48">
        <f>PRODUCTS_NORM!D48</f>
        <v/>
      </c>
    </row>
    <row r="49">
      <c r="A49">
        <f>PRODUCTS_NORM!B49</f>
        <v/>
      </c>
      <c r="B49">
        <f>PRODUCTS_NORM!C49</f>
        <v/>
      </c>
      <c r="C49">
        <f>PRODUCTS_NORM!D49</f>
        <v/>
      </c>
    </row>
    <row r="50">
      <c r="A50">
        <f>PRODUCTS_NORM!B50</f>
        <v/>
      </c>
      <c r="B50">
        <f>PRODUCTS_NORM!C50</f>
        <v/>
      </c>
      <c r="C50">
        <f>PRODUCTS_NORM!D50</f>
        <v/>
      </c>
    </row>
  </sheetData>
  <autoFilter ref="A1:C5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2" t="inlineStr">
        <is>
          <t>VendingMachineId</t>
        </is>
      </c>
      <c r="B1" s="2" t="inlineStr">
        <is>
          <t>ProductId</t>
        </is>
      </c>
      <c r="C1" s="2" t="inlineStr">
        <is>
          <t>QuantityOnHand</t>
        </is>
      </c>
      <c r="D1" s="2" t="inlineStr">
        <is>
          <t>MinimumStock</t>
        </is>
      </c>
      <c r="E1" s="2" t="inlineStr">
        <is>
          <t>AverageDailySales</t>
        </is>
      </c>
    </row>
    <row r="2">
      <c r="A2">
        <f>VM_PRODUCTS_NORM!C2</f>
        <v/>
      </c>
      <c r="B2">
        <f>VM_PRODUCTS_NORM!F2</f>
        <v/>
      </c>
      <c r="C2">
        <f>VM_PRODUCTS_NORM!G2</f>
        <v/>
      </c>
      <c r="D2">
        <f>VM_PRODUCTS_NORM!H2</f>
        <v/>
      </c>
      <c r="E2">
        <f>VM_PRODUCTS_NORM!I2</f>
        <v/>
      </c>
    </row>
    <row r="3">
      <c r="A3">
        <f>VM_PRODUCTS_NORM!C3</f>
        <v/>
      </c>
      <c r="B3">
        <f>VM_PRODUCTS_NORM!F3</f>
        <v/>
      </c>
      <c r="C3">
        <f>VM_PRODUCTS_NORM!G3</f>
        <v/>
      </c>
      <c r="D3">
        <f>VM_PRODUCTS_NORM!H3</f>
        <v/>
      </c>
      <c r="E3">
        <f>VM_PRODUCTS_NORM!I3</f>
        <v/>
      </c>
    </row>
    <row r="4">
      <c r="A4">
        <f>VM_PRODUCTS_NORM!C4</f>
        <v/>
      </c>
      <c r="B4">
        <f>VM_PRODUCTS_NORM!F4</f>
        <v/>
      </c>
      <c r="C4">
        <f>VM_PRODUCTS_NORM!G4</f>
        <v/>
      </c>
      <c r="D4">
        <f>VM_PRODUCTS_NORM!H4</f>
        <v/>
      </c>
      <c r="E4">
        <f>VM_PRODUCTS_NORM!I4</f>
        <v/>
      </c>
    </row>
    <row r="5">
      <c r="A5">
        <f>VM_PRODUCTS_NORM!C5</f>
        <v/>
      </c>
      <c r="B5">
        <f>VM_PRODUCTS_NORM!F5</f>
        <v/>
      </c>
      <c r="C5">
        <f>VM_PRODUCTS_NORM!G5</f>
        <v/>
      </c>
      <c r="D5">
        <f>VM_PRODUCTS_NORM!H5</f>
        <v/>
      </c>
      <c r="E5">
        <f>VM_PRODUCTS_NORM!I5</f>
        <v/>
      </c>
    </row>
    <row r="6">
      <c r="A6">
        <f>VM_PRODUCTS_NORM!C6</f>
        <v/>
      </c>
      <c r="B6">
        <f>VM_PRODUCTS_NORM!F6</f>
        <v/>
      </c>
      <c r="C6">
        <f>VM_PRODUCTS_NORM!G6</f>
        <v/>
      </c>
      <c r="D6">
        <f>VM_PRODUCTS_NORM!H6</f>
        <v/>
      </c>
      <c r="E6">
        <f>VM_PRODUCTS_NORM!I6</f>
        <v/>
      </c>
    </row>
    <row r="7">
      <c r="A7">
        <f>VM_PRODUCTS_NORM!C7</f>
        <v/>
      </c>
      <c r="B7">
        <f>VM_PRODUCTS_NORM!F7</f>
        <v/>
      </c>
      <c r="C7">
        <f>VM_PRODUCTS_NORM!G7</f>
        <v/>
      </c>
      <c r="D7">
        <f>VM_PRODUCTS_NORM!H7</f>
        <v/>
      </c>
      <c r="E7">
        <f>VM_PRODUCTS_NORM!I7</f>
        <v/>
      </c>
    </row>
    <row r="8">
      <c r="A8">
        <f>VM_PRODUCTS_NORM!C8</f>
        <v/>
      </c>
      <c r="B8">
        <f>VM_PRODUCTS_NORM!F8</f>
        <v/>
      </c>
      <c r="C8">
        <f>VM_PRODUCTS_NORM!G8</f>
        <v/>
      </c>
      <c r="D8">
        <f>VM_PRODUCTS_NORM!H8</f>
        <v/>
      </c>
      <c r="E8">
        <f>VM_PRODUCTS_NORM!I8</f>
        <v/>
      </c>
    </row>
    <row r="9">
      <c r="A9">
        <f>VM_PRODUCTS_NORM!C9</f>
        <v/>
      </c>
      <c r="B9">
        <f>VM_PRODUCTS_NORM!F9</f>
        <v/>
      </c>
      <c r="C9">
        <f>VM_PRODUCTS_NORM!G9</f>
        <v/>
      </c>
      <c r="D9">
        <f>VM_PRODUCTS_NORM!H9</f>
        <v/>
      </c>
      <c r="E9">
        <f>VM_PRODUCTS_NORM!I9</f>
        <v/>
      </c>
    </row>
    <row r="10">
      <c r="A10">
        <f>VM_PRODUCTS_NORM!C10</f>
        <v/>
      </c>
      <c r="B10">
        <f>VM_PRODUCTS_NORM!F10</f>
        <v/>
      </c>
      <c r="C10">
        <f>VM_PRODUCTS_NORM!G10</f>
        <v/>
      </c>
      <c r="D10">
        <f>VM_PRODUCTS_NORM!H10</f>
        <v/>
      </c>
      <c r="E10">
        <f>VM_PRODUCTS_NORM!I10</f>
        <v/>
      </c>
    </row>
    <row r="11">
      <c r="A11">
        <f>VM_PRODUCTS_NORM!C11</f>
        <v/>
      </c>
      <c r="B11">
        <f>VM_PRODUCTS_NORM!F11</f>
        <v/>
      </c>
      <c r="C11">
        <f>VM_PRODUCTS_NORM!G11</f>
        <v/>
      </c>
      <c r="D11">
        <f>VM_PRODUCTS_NORM!H11</f>
        <v/>
      </c>
      <c r="E11">
        <f>VM_PRODUCTS_NORM!I11</f>
        <v/>
      </c>
    </row>
    <row r="12">
      <c r="A12">
        <f>VM_PRODUCTS_NORM!C12</f>
        <v/>
      </c>
      <c r="B12">
        <f>VM_PRODUCTS_NORM!F12</f>
        <v/>
      </c>
      <c r="C12">
        <f>VM_PRODUCTS_NORM!G12</f>
        <v/>
      </c>
      <c r="D12">
        <f>VM_PRODUCTS_NORM!H12</f>
        <v/>
      </c>
      <c r="E12">
        <f>VM_PRODUCTS_NORM!I12</f>
        <v/>
      </c>
    </row>
    <row r="13">
      <c r="A13">
        <f>VM_PRODUCTS_NORM!C13</f>
        <v/>
      </c>
      <c r="B13">
        <f>VM_PRODUCTS_NORM!F13</f>
        <v/>
      </c>
      <c r="C13">
        <f>VM_PRODUCTS_NORM!G13</f>
        <v/>
      </c>
      <c r="D13">
        <f>VM_PRODUCTS_NORM!H13</f>
        <v/>
      </c>
      <c r="E13">
        <f>VM_PRODUCTS_NORM!I13</f>
        <v/>
      </c>
    </row>
    <row r="14">
      <c r="A14">
        <f>VM_PRODUCTS_NORM!C14</f>
        <v/>
      </c>
      <c r="B14">
        <f>VM_PRODUCTS_NORM!F14</f>
        <v/>
      </c>
      <c r="C14">
        <f>VM_PRODUCTS_NORM!G14</f>
        <v/>
      </c>
      <c r="D14">
        <f>VM_PRODUCTS_NORM!H14</f>
        <v/>
      </c>
      <c r="E14">
        <f>VM_PRODUCTS_NORM!I14</f>
        <v/>
      </c>
    </row>
    <row r="15">
      <c r="A15">
        <f>VM_PRODUCTS_NORM!C15</f>
        <v/>
      </c>
      <c r="B15">
        <f>VM_PRODUCTS_NORM!F15</f>
        <v/>
      </c>
      <c r="C15">
        <f>VM_PRODUCTS_NORM!G15</f>
        <v/>
      </c>
      <c r="D15">
        <f>VM_PRODUCTS_NORM!H15</f>
        <v/>
      </c>
      <c r="E15">
        <f>VM_PRODUCTS_NORM!I15</f>
        <v/>
      </c>
    </row>
    <row r="16">
      <c r="A16">
        <f>VM_PRODUCTS_NORM!C16</f>
        <v/>
      </c>
      <c r="B16">
        <f>VM_PRODUCTS_NORM!F16</f>
        <v/>
      </c>
      <c r="C16">
        <f>VM_PRODUCTS_NORM!G16</f>
        <v/>
      </c>
      <c r="D16">
        <f>VM_PRODUCTS_NORM!H16</f>
        <v/>
      </c>
      <c r="E16">
        <f>VM_PRODUCTS_NORM!I16</f>
        <v/>
      </c>
    </row>
    <row r="17">
      <c r="A17">
        <f>VM_PRODUCTS_NORM!C17</f>
        <v/>
      </c>
      <c r="B17">
        <f>VM_PRODUCTS_NORM!F17</f>
        <v/>
      </c>
      <c r="C17">
        <f>VM_PRODUCTS_NORM!G17</f>
        <v/>
      </c>
      <c r="D17">
        <f>VM_PRODUCTS_NORM!H17</f>
        <v/>
      </c>
      <c r="E17">
        <f>VM_PRODUCTS_NORM!I17</f>
        <v/>
      </c>
    </row>
    <row r="18">
      <c r="A18">
        <f>VM_PRODUCTS_NORM!C18</f>
        <v/>
      </c>
      <c r="B18">
        <f>VM_PRODUCTS_NORM!F18</f>
        <v/>
      </c>
      <c r="C18">
        <f>VM_PRODUCTS_NORM!G18</f>
        <v/>
      </c>
      <c r="D18">
        <f>VM_PRODUCTS_NORM!H18</f>
        <v/>
      </c>
      <c r="E18">
        <f>VM_PRODUCTS_NORM!I18</f>
        <v/>
      </c>
    </row>
    <row r="19">
      <c r="A19">
        <f>VM_PRODUCTS_NORM!C19</f>
        <v/>
      </c>
      <c r="B19">
        <f>VM_PRODUCTS_NORM!F19</f>
        <v/>
      </c>
      <c r="C19">
        <f>VM_PRODUCTS_NORM!G19</f>
        <v/>
      </c>
      <c r="D19">
        <f>VM_PRODUCTS_NORM!H19</f>
        <v/>
      </c>
      <c r="E19">
        <f>VM_PRODUCTS_NORM!I19</f>
        <v/>
      </c>
    </row>
    <row r="20">
      <c r="A20">
        <f>VM_PRODUCTS_NORM!C20</f>
        <v/>
      </c>
      <c r="B20">
        <f>VM_PRODUCTS_NORM!F20</f>
        <v/>
      </c>
      <c r="C20">
        <f>VM_PRODUCTS_NORM!G20</f>
        <v/>
      </c>
      <c r="D20">
        <f>VM_PRODUCTS_NORM!H20</f>
        <v/>
      </c>
      <c r="E20">
        <f>VM_PRODUCTS_NORM!I20</f>
        <v/>
      </c>
    </row>
    <row r="21">
      <c r="A21">
        <f>VM_PRODUCTS_NORM!C21</f>
        <v/>
      </c>
      <c r="B21">
        <f>VM_PRODUCTS_NORM!F21</f>
        <v/>
      </c>
      <c r="C21">
        <f>VM_PRODUCTS_NORM!G21</f>
        <v/>
      </c>
      <c r="D21">
        <f>VM_PRODUCTS_NORM!H21</f>
        <v/>
      </c>
      <c r="E21">
        <f>VM_PRODUCTS_NORM!I21</f>
        <v/>
      </c>
    </row>
    <row r="22">
      <c r="A22">
        <f>VM_PRODUCTS_NORM!C22</f>
        <v/>
      </c>
      <c r="B22">
        <f>VM_PRODUCTS_NORM!F22</f>
        <v/>
      </c>
      <c r="C22">
        <f>VM_PRODUCTS_NORM!G22</f>
        <v/>
      </c>
      <c r="D22">
        <f>VM_PRODUCTS_NORM!H22</f>
        <v/>
      </c>
      <c r="E22">
        <f>VM_PRODUCTS_NORM!I22</f>
        <v/>
      </c>
    </row>
    <row r="23">
      <c r="A23">
        <f>VM_PRODUCTS_NORM!C23</f>
        <v/>
      </c>
      <c r="B23">
        <f>VM_PRODUCTS_NORM!F23</f>
        <v/>
      </c>
      <c r="C23">
        <f>VM_PRODUCTS_NORM!G23</f>
        <v/>
      </c>
      <c r="D23">
        <f>VM_PRODUCTS_NORM!H23</f>
        <v/>
      </c>
      <c r="E23">
        <f>VM_PRODUCTS_NORM!I23</f>
        <v/>
      </c>
    </row>
    <row r="24">
      <c r="A24">
        <f>VM_PRODUCTS_NORM!C24</f>
        <v/>
      </c>
      <c r="B24">
        <f>VM_PRODUCTS_NORM!F24</f>
        <v/>
      </c>
      <c r="C24">
        <f>VM_PRODUCTS_NORM!G24</f>
        <v/>
      </c>
      <c r="D24">
        <f>VM_PRODUCTS_NORM!H24</f>
        <v/>
      </c>
      <c r="E24">
        <f>VM_PRODUCTS_NORM!I24</f>
        <v/>
      </c>
    </row>
    <row r="25">
      <c r="A25">
        <f>VM_PRODUCTS_NORM!C25</f>
        <v/>
      </c>
      <c r="B25">
        <f>VM_PRODUCTS_NORM!F25</f>
        <v/>
      </c>
      <c r="C25">
        <f>VM_PRODUCTS_NORM!G25</f>
        <v/>
      </c>
      <c r="D25">
        <f>VM_PRODUCTS_NORM!H25</f>
        <v/>
      </c>
      <c r="E25">
        <f>VM_PRODUCTS_NORM!I25</f>
        <v/>
      </c>
    </row>
    <row r="26">
      <c r="A26">
        <f>VM_PRODUCTS_NORM!C26</f>
        <v/>
      </c>
      <c r="B26">
        <f>VM_PRODUCTS_NORM!F26</f>
        <v/>
      </c>
      <c r="C26">
        <f>VM_PRODUCTS_NORM!G26</f>
        <v/>
      </c>
      <c r="D26">
        <f>VM_PRODUCTS_NORM!H26</f>
        <v/>
      </c>
      <c r="E26">
        <f>VM_PRODUCTS_NORM!I26</f>
        <v/>
      </c>
    </row>
    <row r="27">
      <c r="A27">
        <f>VM_PRODUCTS_NORM!C27</f>
        <v/>
      </c>
      <c r="B27">
        <f>VM_PRODUCTS_NORM!F27</f>
        <v/>
      </c>
      <c r="C27">
        <f>VM_PRODUCTS_NORM!G27</f>
        <v/>
      </c>
      <c r="D27">
        <f>VM_PRODUCTS_NORM!H27</f>
        <v/>
      </c>
      <c r="E27">
        <f>VM_PRODUCTS_NORM!I27</f>
        <v/>
      </c>
    </row>
    <row r="28">
      <c r="A28">
        <f>VM_PRODUCTS_NORM!C28</f>
        <v/>
      </c>
      <c r="B28">
        <f>VM_PRODUCTS_NORM!F28</f>
        <v/>
      </c>
      <c r="C28">
        <f>VM_PRODUCTS_NORM!G28</f>
        <v/>
      </c>
      <c r="D28">
        <f>VM_PRODUCTS_NORM!H28</f>
        <v/>
      </c>
      <c r="E28">
        <f>VM_PRODUCTS_NORM!I28</f>
        <v/>
      </c>
    </row>
    <row r="29">
      <c r="A29">
        <f>VM_PRODUCTS_NORM!C29</f>
        <v/>
      </c>
      <c r="B29">
        <f>VM_PRODUCTS_NORM!F29</f>
        <v/>
      </c>
      <c r="C29">
        <f>VM_PRODUCTS_NORM!G29</f>
        <v/>
      </c>
      <c r="D29">
        <f>VM_PRODUCTS_NORM!H29</f>
        <v/>
      </c>
      <c r="E29">
        <f>VM_PRODUCTS_NORM!I29</f>
        <v/>
      </c>
    </row>
    <row r="30">
      <c r="A30">
        <f>VM_PRODUCTS_NORM!C30</f>
        <v/>
      </c>
      <c r="B30">
        <f>VM_PRODUCTS_NORM!F30</f>
        <v/>
      </c>
      <c r="C30">
        <f>VM_PRODUCTS_NORM!G30</f>
        <v/>
      </c>
      <c r="D30">
        <f>VM_PRODUCTS_NORM!H30</f>
        <v/>
      </c>
      <c r="E30">
        <f>VM_PRODUCTS_NORM!I30</f>
        <v/>
      </c>
    </row>
    <row r="31">
      <c r="A31">
        <f>VM_PRODUCTS_NORM!C31</f>
        <v/>
      </c>
      <c r="B31">
        <f>VM_PRODUCTS_NORM!F31</f>
        <v/>
      </c>
      <c r="C31">
        <f>VM_PRODUCTS_NORM!G31</f>
        <v/>
      </c>
      <c r="D31">
        <f>VM_PRODUCTS_NORM!H31</f>
        <v/>
      </c>
      <c r="E31">
        <f>VM_PRODUCTS_NORM!I31</f>
        <v/>
      </c>
    </row>
    <row r="32">
      <c r="A32">
        <f>VM_PRODUCTS_NORM!C32</f>
        <v/>
      </c>
      <c r="B32">
        <f>VM_PRODUCTS_NORM!F32</f>
        <v/>
      </c>
      <c r="C32">
        <f>VM_PRODUCTS_NORM!G32</f>
        <v/>
      </c>
      <c r="D32">
        <f>VM_PRODUCTS_NORM!H32</f>
        <v/>
      </c>
      <c r="E32">
        <f>VM_PRODUCTS_NORM!I32</f>
        <v/>
      </c>
    </row>
    <row r="33">
      <c r="A33">
        <f>VM_PRODUCTS_NORM!C33</f>
        <v/>
      </c>
      <c r="B33">
        <f>VM_PRODUCTS_NORM!F33</f>
        <v/>
      </c>
      <c r="C33">
        <f>VM_PRODUCTS_NORM!G33</f>
        <v/>
      </c>
      <c r="D33">
        <f>VM_PRODUCTS_NORM!H33</f>
        <v/>
      </c>
      <c r="E33">
        <f>VM_PRODUCTS_NORM!I33</f>
        <v/>
      </c>
    </row>
    <row r="34">
      <c r="A34">
        <f>VM_PRODUCTS_NORM!C34</f>
        <v/>
      </c>
      <c r="B34">
        <f>VM_PRODUCTS_NORM!F34</f>
        <v/>
      </c>
      <c r="C34">
        <f>VM_PRODUCTS_NORM!G34</f>
        <v/>
      </c>
      <c r="D34">
        <f>VM_PRODUCTS_NORM!H34</f>
        <v/>
      </c>
      <c r="E34">
        <f>VM_PRODUCTS_NORM!I34</f>
        <v/>
      </c>
    </row>
    <row r="35">
      <c r="A35">
        <f>VM_PRODUCTS_NORM!C35</f>
        <v/>
      </c>
      <c r="B35">
        <f>VM_PRODUCTS_NORM!F35</f>
        <v/>
      </c>
      <c r="C35">
        <f>VM_PRODUCTS_NORM!G35</f>
        <v/>
      </c>
      <c r="D35">
        <f>VM_PRODUCTS_NORM!H35</f>
        <v/>
      </c>
      <c r="E35">
        <f>VM_PRODUCTS_NORM!I35</f>
        <v/>
      </c>
    </row>
    <row r="36">
      <c r="A36">
        <f>VM_PRODUCTS_NORM!C36</f>
        <v/>
      </c>
      <c r="B36">
        <f>VM_PRODUCTS_NORM!F36</f>
        <v/>
      </c>
      <c r="C36">
        <f>VM_PRODUCTS_NORM!G36</f>
        <v/>
      </c>
      <c r="D36">
        <f>VM_PRODUCTS_NORM!H36</f>
        <v/>
      </c>
      <c r="E36">
        <f>VM_PRODUCTS_NORM!I36</f>
        <v/>
      </c>
    </row>
    <row r="37">
      <c r="A37">
        <f>VM_PRODUCTS_NORM!C37</f>
        <v/>
      </c>
      <c r="B37">
        <f>VM_PRODUCTS_NORM!F37</f>
        <v/>
      </c>
      <c r="C37">
        <f>VM_PRODUCTS_NORM!G37</f>
        <v/>
      </c>
      <c r="D37">
        <f>VM_PRODUCTS_NORM!H37</f>
        <v/>
      </c>
      <c r="E37">
        <f>VM_PRODUCTS_NORM!I37</f>
        <v/>
      </c>
    </row>
    <row r="38">
      <c r="A38">
        <f>VM_PRODUCTS_NORM!C38</f>
        <v/>
      </c>
      <c r="B38">
        <f>VM_PRODUCTS_NORM!F38</f>
        <v/>
      </c>
      <c r="C38">
        <f>VM_PRODUCTS_NORM!G38</f>
        <v/>
      </c>
      <c r="D38">
        <f>VM_PRODUCTS_NORM!H38</f>
        <v/>
      </c>
      <c r="E38">
        <f>VM_PRODUCTS_NORM!I38</f>
        <v/>
      </c>
    </row>
    <row r="39">
      <c r="A39">
        <f>VM_PRODUCTS_NORM!C39</f>
        <v/>
      </c>
      <c r="B39">
        <f>VM_PRODUCTS_NORM!F39</f>
        <v/>
      </c>
      <c r="C39">
        <f>VM_PRODUCTS_NORM!G39</f>
        <v/>
      </c>
      <c r="D39">
        <f>VM_PRODUCTS_NORM!H39</f>
        <v/>
      </c>
      <c r="E39">
        <f>VM_PRODUCTS_NORM!I39</f>
        <v/>
      </c>
    </row>
    <row r="40">
      <c r="A40">
        <f>VM_PRODUCTS_NORM!C40</f>
        <v/>
      </c>
      <c r="B40">
        <f>VM_PRODUCTS_NORM!F40</f>
        <v/>
      </c>
      <c r="C40">
        <f>VM_PRODUCTS_NORM!G40</f>
        <v/>
      </c>
      <c r="D40">
        <f>VM_PRODUCTS_NORM!H40</f>
        <v/>
      </c>
      <c r="E40">
        <f>VM_PRODUCTS_NORM!I40</f>
        <v/>
      </c>
    </row>
    <row r="41">
      <c r="A41">
        <f>VM_PRODUCTS_NORM!C41</f>
        <v/>
      </c>
      <c r="B41">
        <f>VM_PRODUCTS_NORM!F41</f>
        <v/>
      </c>
      <c r="C41">
        <f>VM_PRODUCTS_NORM!G41</f>
        <v/>
      </c>
      <c r="D41">
        <f>VM_PRODUCTS_NORM!H41</f>
        <v/>
      </c>
      <c r="E41">
        <f>VM_PRODUCTS_NORM!I41</f>
        <v/>
      </c>
    </row>
    <row r="42">
      <c r="A42">
        <f>VM_PRODUCTS_NORM!C42</f>
        <v/>
      </c>
      <c r="B42">
        <f>VM_PRODUCTS_NORM!F42</f>
        <v/>
      </c>
      <c r="C42">
        <f>VM_PRODUCTS_NORM!G42</f>
        <v/>
      </c>
      <c r="D42">
        <f>VM_PRODUCTS_NORM!H42</f>
        <v/>
      </c>
      <c r="E42">
        <f>VM_PRODUCTS_NORM!I42</f>
        <v/>
      </c>
    </row>
    <row r="43">
      <c r="A43">
        <f>VM_PRODUCTS_NORM!C43</f>
        <v/>
      </c>
      <c r="B43">
        <f>VM_PRODUCTS_NORM!F43</f>
        <v/>
      </c>
      <c r="C43">
        <f>VM_PRODUCTS_NORM!G43</f>
        <v/>
      </c>
      <c r="D43">
        <f>VM_PRODUCTS_NORM!H43</f>
        <v/>
      </c>
      <c r="E43">
        <f>VM_PRODUCTS_NORM!I43</f>
        <v/>
      </c>
    </row>
    <row r="44">
      <c r="A44">
        <f>VM_PRODUCTS_NORM!C44</f>
        <v/>
      </c>
      <c r="B44">
        <f>VM_PRODUCTS_NORM!F44</f>
        <v/>
      </c>
      <c r="C44">
        <f>VM_PRODUCTS_NORM!G44</f>
        <v/>
      </c>
      <c r="D44">
        <f>VM_PRODUCTS_NORM!H44</f>
        <v/>
      </c>
      <c r="E44">
        <f>VM_PRODUCTS_NORM!I44</f>
        <v/>
      </c>
    </row>
    <row r="45">
      <c r="A45">
        <f>VM_PRODUCTS_NORM!C45</f>
        <v/>
      </c>
      <c r="B45">
        <f>VM_PRODUCTS_NORM!F45</f>
        <v/>
      </c>
      <c r="C45">
        <f>VM_PRODUCTS_NORM!G45</f>
        <v/>
      </c>
      <c r="D45">
        <f>VM_PRODUCTS_NORM!H45</f>
        <v/>
      </c>
      <c r="E45">
        <f>VM_PRODUCTS_NORM!I45</f>
        <v/>
      </c>
    </row>
    <row r="46">
      <c r="A46">
        <f>VM_PRODUCTS_NORM!C46</f>
        <v/>
      </c>
      <c r="B46">
        <f>VM_PRODUCTS_NORM!F46</f>
        <v/>
      </c>
      <c r="C46">
        <f>VM_PRODUCTS_NORM!G46</f>
        <v/>
      </c>
      <c r="D46">
        <f>VM_PRODUCTS_NORM!H46</f>
        <v/>
      </c>
      <c r="E46">
        <f>VM_PRODUCTS_NORM!I46</f>
        <v/>
      </c>
    </row>
    <row r="47">
      <c r="A47">
        <f>VM_PRODUCTS_NORM!C47</f>
        <v/>
      </c>
      <c r="B47">
        <f>VM_PRODUCTS_NORM!F47</f>
        <v/>
      </c>
      <c r="C47">
        <f>VM_PRODUCTS_NORM!G47</f>
        <v/>
      </c>
      <c r="D47">
        <f>VM_PRODUCTS_NORM!H47</f>
        <v/>
      </c>
      <c r="E47">
        <f>VM_PRODUCTS_NORM!I47</f>
        <v/>
      </c>
    </row>
    <row r="48">
      <c r="A48">
        <f>VM_PRODUCTS_NORM!C48</f>
        <v/>
      </c>
      <c r="B48">
        <f>VM_PRODUCTS_NORM!F48</f>
        <v/>
      </c>
      <c r="C48">
        <f>VM_PRODUCTS_NORM!G48</f>
        <v/>
      </c>
      <c r="D48">
        <f>VM_PRODUCTS_NORM!H48</f>
        <v/>
      </c>
      <c r="E48">
        <f>VM_PRODUCTS_NORM!I48</f>
        <v/>
      </c>
    </row>
    <row r="49">
      <c r="A49">
        <f>VM_PRODUCTS_NORM!C49</f>
        <v/>
      </c>
      <c r="B49">
        <f>VM_PRODUCTS_NORM!F49</f>
        <v/>
      </c>
      <c r="C49">
        <f>VM_PRODUCTS_NORM!G49</f>
        <v/>
      </c>
      <c r="D49">
        <f>VM_PRODUCTS_NORM!H49</f>
        <v/>
      </c>
      <c r="E49">
        <f>VM_PRODUCTS_NORM!I49</f>
        <v/>
      </c>
    </row>
    <row r="50">
      <c r="A50">
        <f>VM_PRODUCTS_NORM!C50</f>
        <v/>
      </c>
      <c r="B50">
        <f>VM_PRODUCTS_NORM!F50</f>
        <v/>
      </c>
      <c r="C50">
        <f>VM_PRODUCTS_NORM!G50</f>
        <v/>
      </c>
      <c r="D50">
        <f>VM_PRODUCTS_NORM!H50</f>
        <v/>
      </c>
      <c r="E50">
        <f>VM_PRODUCTS_NORM!I50</f>
        <v/>
      </c>
    </row>
  </sheetData>
  <autoFilter ref="A1:E5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Name</t>
        </is>
      </c>
    </row>
    <row r="2">
      <c r="A2" t="inlineStr">
        <is>
          <t>Наличные</t>
        </is>
      </c>
    </row>
    <row r="3">
      <c r="A3" t="inlineStr">
        <is>
          <t>Карта</t>
        </is>
      </c>
    </row>
    <row r="4">
      <c r="A4" t="inlineStr">
        <is>
          <t>QR</t>
        </is>
      </c>
    </row>
  </sheetData>
  <autoFilter ref="A1:A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</cols>
  <sheetData>
    <row r="1">
      <c r="A1" s="2" t="inlineStr">
        <is>
          <t>VendingMachineId</t>
        </is>
      </c>
      <c r="B1" s="2" t="inlineStr">
        <is>
          <t>ProductId</t>
        </is>
      </c>
      <c r="C1" s="2" t="inlineStr">
        <is>
          <t>Quantity</t>
        </is>
      </c>
      <c r="D1" s="2" t="inlineStr">
        <is>
          <t>TotalAmount</t>
        </is>
      </c>
      <c r="E1" s="2" t="inlineStr">
        <is>
          <t>SoldAt</t>
        </is>
      </c>
      <c r="F1" s="2" t="inlineStr">
        <is>
          <t>SalePaymentMethodId</t>
        </is>
      </c>
    </row>
    <row r="2">
      <c r="A2">
        <f>SALES_NORM!H2</f>
        <v/>
      </c>
      <c r="B2">
        <f>SALES_NORM!E2</f>
        <v/>
      </c>
      <c r="C2">
        <f>SALES_NORM!J2</f>
        <v/>
      </c>
      <c r="D2">
        <f>SALES_NORM!I2</f>
        <v/>
      </c>
      <c r="E2" s="6">
        <f>SALES_NORM!B2</f>
        <v/>
      </c>
      <c r="F2">
        <f>SALES_NORM!M2</f>
        <v/>
      </c>
    </row>
    <row r="3">
      <c r="A3">
        <f>SALES_NORM!H3</f>
        <v/>
      </c>
      <c r="B3">
        <f>SALES_NORM!E3</f>
        <v/>
      </c>
      <c r="C3">
        <f>SALES_NORM!J3</f>
        <v/>
      </c>
      <c r="D3">
        <f>SALES_NORM!I3</f>
        <v/>
      </c>
      <c r="E3" s="6">
        <f>SALES_NORM!B3</f>
        <v/>
      </c>
      <c r="F3">
        <f>SALES_NORM!M3</f>
        <v/>
      </c>
    </row>
    <row r="4">
      <c r="A4">
        <f>SALES_NORM!H4</f>
        <v/>
      </c>
      <c r="B4">
        <f>SALES_NORM!E4</f>
        <v/>
      </c>
      <c r="C4">
        <f>SALES_NORM!J4</f>
        <v/>
      </c>
      <c r="D4">
        <f>SALES_NORM!I4</f>
        <v/>
      </c>
      <c r="E4" s="6">
        <f>SALES_NORM!B4</f>
        <v/>
      </c>
      <c r="F4">
        <f>SALES_NORM!M4</f>
        <v/>
      </c>
    </row>
    <row r="5">
      <c r="A5">
        <f>SALES_NORM!H5</f>
        <v/>
      </c>
      <c r="B5">
        <f>SALES_NORM!E5</f>
        <v/>
      </c>
      <c r="C5">
        <f>SALES_NORM!J5</f>
        <v/>
      </c>
      <c r="D5">
        <f>SALES_NORM!I5</f>
        <v/>
      </c>
      <c r="E5" s="6">
        <f>SALES_NORM!B5</f>
        <v/>
      </c>
      <c r="F5">
        <f>SALES_NORM!M5</f>
        <v/>
      </c>
    </row>
    <row r="6">
      <c r="A6">
        <f>SALES_NORM!H6</f>
        <v/>
      </c>
      <c r="B6">
        <f>SALES_NORM!E6</f>
        <v/>
      </c>
      <c r="C6">
        <f>SALES_NORM!J6</f>
        <v/>
      </c>
      <c r="D6">
        <f>SALES_NORM!I6</f>
        <v/>
      </c>
      <c r="E6" s="6">
        <f>SALES_NORM!B6</f>
        <v/>
      </c>
      <c r="F6">
        <f>SALES_NORM!M6</f>
        <v/>
      </c>
    </row>
    <row r="7">
      <c r="A7">
        <f>SALES_NORM!H7</f>
        <v/>
      </c>
      <c r="B7">
        <f>SALES_NORM!E7</f>
        <v/>
      </c>
      <c r="C7">
        <f>SALES_NORM!J7</f>
        <v/>
      </c>
      <c r="D7">
        <f>SALES_NORM!I7</f>
        <v/>
      </c>
      <c r="E7" s="6">
        <f>SALES_NORM!B7</f>
        <v/>
      </c>
      <c r="F7">
        <f>SALES_NORM!M7</f>
        <v/>
      </c>
    </row>
    <row r="8">
      <c r="A8">
        <f>SALES_NORM!H8</f>
        <v/>
      </c>
      <c r="B8">
        <f>SALES_NORM!E8</f>
        <v/>
      </c>
      <c r="C8">
        <f>SALES_NORM!J8</f>
        <v/>
      </c>
      <c r="D8">
        <f>SALES_NORM!I8</f>
        <v/>
      </c>
      <c r="E8" s="6">
        <f>SALES_NORM!B8</f>
        <v/>
      </c>
      <c r="F8">
        <f>SALES_NORM!M8</f>
        <v/>
      </c>
    </row>
    <row r="9">
      <c r="A9">
        <f>SALES_NORM!H9</f>
        <v/>
      </c>
      <c r="B9">
        <f>SALES_NORM!E9</f>
        <v/>
      </c>
      <c r="C9">
        <f>SALES_NORM!J9</f>
        <v/>
      </c>
      <c r="D9">
        <f>SALES_NORM!I9</f>
        <v/>
      </c>
      <c r="E9" s="6">
        <f>SALES_NORM!B9</f>
        <v/>
      </c>
      <c r="F9">
        <f>SALES_NORM!M9</f>
        <v/>
      </c>
    </row>
    <row r="10">
      <c r="A10">
        <f>SALES_NORM!H10</f>
        <v/>
      </c>
      <c r="B10">
        <f>SALES_NORM!E10</f>
        <v/>
      </c>
      <c r="C10">
        <f>SALES_NORM!J10</f>
        <v/>
      </c>
      <c r="D10">
        <f>SALES_NORM!I10</f>
        <v/>
      </c>
      <c r="E10" s="6">
        <f>SALES_NORM!B10</f>
        <v/>
      </c>
      <c r="F10">
        <f>SALES_NORM!M10</f>
        <v/>
      </c>
    </row>
    <row r="11">
      <c r="A11">
        <f>SALES_NORM!H11</f>
        <v/>
      </c>
      <c r="B11">
        <f>SALES_NORM!E11</f>
        <v/>
      </c>
      <c r="C11">
        <f>SALES_NORM!J11</f>
        <v/>
      </c>
      <c r="D11">
        <f>SALES_NORM!I11</f>
        <v/>
      </c>
      <c r="E11" s="6">
        <f>SALES_NORM!B11</f>
        <v/>
      </c>
      <c r="F11">
        <f>SALES_NORM!M11</f>
        <v/>
      </c>
    </row>
    <row r="12">
      <c r="A12">
        <f>SALES_NORM!H12</f>
        <v/>
      </c>
      <c r="B12">
        <f>SALES_NORM!E12</f>
        <v/>
      </c>
      <c r="C12">
        <f>SALES_NORM!J12</f>
        <v/>
      </c>
      <c r="D12">
        <f>SALES_NORM!I12</f>
        <v/>
      </c>
      <c r="E12" s="6">
        <f>SALES_NORM!B12</f>
        <v/>
      </c>
      <c r="F12">
        <f>SALES_NORM!M12</f>
        <v/>
      </c>
    </row>
    <row r="13">
      <c r="A13">
        <f>SALES_NORM!H13</f>
        <v/>
      </c>
      <c r="B13">
        <f>SALES_NORM!E13</f>
        <v/>
      </c>
      <c r="C13">
        <f>SALES_NORM!J13</f>
        <v/>
      </c>
      <c r="D13">
        <f>SALES_NORM!I13</f>
        <v/>
      </c>
      <c r="E13" s="6">
        <f>SALES_NORM!B13</f>
        <v/>
      </c>
      <c r="F13">
        <f>SALES_NORM!M13</f>
        <v/>
      </c>
    </row>
    <row r="14">
      <c r="A14">
        <f>SALES_NORM!H14</f>
        <v/>
      </c>
      <c r="B14">
        <f>SALES_NORM!E14</f>
        <v/>
      </c>
      <c r="C14">
        <f>SALES_NORM!J14</f>
        <v/>
      </c>
      <c r="D14">
        <f>SALES_NORM!I14</f>
        <v/>
      </c>
      <c r="E14" s="6">
        <f>SALES_NORM!B14</f>
        <v/>
      </c>
      <c r="F14">
        <f>SALES_NORM!M14</f>
        <v/>
      </c>
    </row>
    <row r="15">
      <c r="A15">
        <f>SALES_NORM!H15</f>
        <v/>
      </c>
      <c r="B15">
        <f>SALES_NORM!E15</f>
        <v/>
      </c>
      <c r="C15">
        <f>SALES_NORM!J15</f>
        <v/>
      </c>
      <c r="D15">
        <f>SALES_NORM!I15</f>
        <v/>
      </c>
      <c r="E15" s="6">
        <f>SALES_NORM!B15</f>
        <v/>
      </c>
      <c r="F15">
        <f>SALES_NORM!M15</f>
        <v/>
      </c>
    </row>
    <row r="16">
      <c r="A16">
        <f>SALES_NORM!H16</f>
        <v/>
      </c>
      <c r="B16">
        <f>SALES_NORM!E16</f>
        <v/>
      </c>
      <c r="C16">
        <f>SALES_NORM!J16</f>
        <v/>
      </c>
      <c r="D16">
        <f>SALES_NORM!I16</f>
        <v/>
      </c>
      <c r="E16" s="6">
        <f>SALES_NORM!B16</f>
        <v/>
      </c>
      <c r="F16">
        <f>SALES_NORM!M16</f>
        <v/>
      </c>
    </row>
    <row r="17">
      <c r="A17">
        <f>SALES_NORM!H17</f>
        <v/>
      </c>
      <c r="B17">
        <f>SALES_NORM!E17</f>
        <v/>
      </c>
      <c r="C17">
        <f>SALES_NORM!J17</f>
        <v/>
      </c>
      <c r="D17">
        <f>SALES_NORM!I17</f>
        <v/>
      </c>
      <c r="E17" s="6">
        <f>SALES_NORM!B17</f>
        <v/>
      </c>
      <c r="F17">
        <f>SALES_NORM!M17</f>
        <v/>
      </c>
    </row>
    <row r="18">
      <c r="A18">
        <f>SALES_NORM!H18</f>
        <v/>
      </c>
      <c r="B18">
        <f>SALES_NORM!E18</f>
        <v/>
      </c>
      <c r="C18">
        <f>SALES_NORM!J18</f>
        <v/>
      </c>
      <c r="D18">
        <f>SALES_NORM!I18</f>
        <v/>
      </c>
      <c r="E18" s="6">
        <f>SALES_NORM!B18</f>
        <v/>
      </c>
      <c r="F18">
        <f>SALES_NORM!M18</f>
        <v/>
      </c>
    </row>
    <row r="19">
      <c r="A19">
        <f>SALES_NORM!H19</f>
        <v/>
      </c>
      <c r="B19">
        <f>SALES_NORM!E19</f>
        <v/>
      </c>
      <c r="C19">
        <f>SALES_NORM!J19</f>
        <v/>
      </c>
      <c r="D19">
        <f>SALES_NORM!I19</f>
        <v/>
      </c>
      <c r="E19" s="6">
        <f>SALES_NORM!B19</f>
        <v/>
      </c>
      <c r="F19">
        <f>SALES_NORM!M19</f>
        <v/>
      </c>
    </row>
    <row r="20">
      <c r="A20">
        <f>SALES_NORM!H20</f>
        <v/>
      </c>
      <c r="B20">
        <f>SALES_NORM!E20</f>
        <v/>
      </c>
      <c r="C20">
        <f>SALES_NORM!J20</f>
        <v/>
      </c>
      <c r="D20">
        <f>SALES_NORM!I20</f>
        <v/>
      </c>
      <c r="E20" s="6">
        <f>SALES_NORM!B20</f>
        <v/>
      </c>
      <c r="F20">
        <f>SALES_NORM!M20</f>
        <v/>
      </c>
    </row>
    <row r="21">
      <c r="A21">
        <f>SALES_NORM!H21</f>
        <v/>
      </c>
      <c r="B21">
        <f>SALES_NORM!E21</f>
        <v/>
      </c>
      <c r="C21">
        <f>SALES_NORM!J21</f>
        <v/>
      </c>
      <c r="D21">
        <f>SALES_NORM!I21</f>
        <v/>
      </c>
      <c r="E21" s="6">
        <f>SALES_NORM!B21</f>
        <v/>
      </c>
      <c r="F21">
        <f>SALES_NORM!M21</f>
        <v/>
      </c>
    </row>
    <row r="22">
      <c r="A22">
        <f>SALES_NORM!H22</f>
        <v/>
      </c>
      <c r="B22">
        <f>SALES_NORM!E22</f>
        <v/>
      </c>
      <c r="C22">
        <f>SALES_NORM!J22</f>
        <v/>
      </c>
      <c r="D22">
        <f>SALES_NORM!I22</f>
        <v/>
      </c>
      <c r="E22" s="6">
        <f>SALES_NORM!B22</f>
        <v/>
      </c>
      <c r="F22">
        <f>SALES_NORM!M22</f>
        <v/>
      </c>
    </row>
    <row r="23">
      <c r="A23">
        <f>SALES_NORM!H23</f>
        <v/>
      </c>
      <c r="B23">
        <f>SALES_NORM!E23</f>
        <v/>
      </c>
      <c r="C23">
        <f>SALES_NORM!J23</f>
        <v/>
      </c>
      <c r="D23">
        <f>SALES_NORM!I23</f>
        <v/>
      </c>
      <c r="E23" s="6">
        <f>SALES_NORM!B23</f>
        <v/>
      </c>
      <c r="F23">
        <f>SALES_NORM!M23</f>
        <v/>
      </c>
    </row>
    <row r="24">
      <c r="A24">
        <f>SALES_NORM!H24</f>
        <v/>
      </c>
      <c r="B24">
        <f>SALES_NORM!E24</f>
        <v/>
      </c>
      <c r="C24">
        <f>SALES_NORM!J24</f>
        <v/>
      </c>
      <c r="D24">
        <f>SALES_NORM!I24</f>
        <v/>
      </c>
      <c r="E24" s="6">
        <f>SALES_NORM!B24</f>
        <v/>
      </c>
      <c r="F24">
        <f>SALES_NORM!M24</f>
        <v/>
      </c>
    </row>
    <row r="25">
      <c r="A25">
        <f>SALES_NORM!H25</f>
        <v/>
      </c>
      <c r="B25">
        <f>SALES_NORM!E25</f>
        <v/>
      </c>
      <c r="C25">
        <f>SALES_NORM!J25</f>
        <v/>
      </c>
      <c r="D25">
        <f>SALES_NORM!I25</f>
        <v/>
      </c>
      <c r="E25" s="6">
        <f>SALES_NORM!B25</f>
        <v/>
      </c>
      <c r="F25">
        <f>SALES_NORM!M25</f>
        <v/>
      </c>
    </row>
    <row r="26">
      <c r="A26">
        <f>SALES_NORM!H26</f>
        <v/>
      </c>
      <c r="B26">
        <f>SALES_NORM!E26</f>
        <v/>
      </c>
      <c r="C26">
        <f>SALES_NORM!J26</f>
        <v/>
      </c>
      <c r="D26">
        <f>SALES_NORM!I26</f>
        <v/>
      </c>
      <c r="E26" s="6">
        <f>SALES_NORM!B26</f>
        <v/>
      </c>
      <c r="F26">
        <f>SALES_NORM!M26</f>
        <v/>
      </c>
    </row>
    <row r="27">
      <c r="A27">
        <f>SALES_NORM!H27</f>
        <v/>
      </c>
      <c r="B27">
        <f>SALES_NORM!E27</f>
        <v/>
      </c>
      <c r="C27">
        <f>SALES_NORM!J27</f>
        <v/>
      </c>
      <c r="D27">
        <f>SALES_NORM!I27</f>
        <v/>
      </c>
      <c r="E27" s="6">
        <f>SALES_NORM!B27</f>
        <v/>
      </c>
      <c r="F27">
        <f>SALES_NORM!M27</f>
        <v/>
      </c>
    </row>
    <row r="28">
      <c r="A28">
        <f>SALES_NORM!H28</f>
        <v/>
      </c>
      <c r="B28">
        <f>SALES_NORM!E28</f>
        <v/>
      </c>
      <c r="C28">
        <f>SALES_NORM!J28</f>
        <v/>
      </c>
      <c r="D28">
        <f>SALES_NORM!I28</f>
        <v/>
      </c>
      <c r="E28" s="6">
        <f>SALES_NORM!B28</f>
        <v/>
      </c>
      <c r="F28">
        <f>SALES_NORM!M28</f>
        <v/>
      </c>
    </row>
    <row r="29">
      <c r="A29">
        <f>SALES_NORM!H29</f>
        <v/>
      </c>
      <c r="B29">
        <f>SALES_NORM!E29</f>
        <v/>
      </c>
      <c r="C29">
        <f>SALES_NORM!J29</f>
        <v/>
      </c>
      <c r="D29">
        <f>SALES_NORM!I29</f>
        <v/>
      </c>
      <c r="E29" s="6">
        <f>SALES_NORM!B29</f>
        <v/>
      </c>
      <c r="F29">
        <f>SALES_NORM!M29</f>
        <v/>
      </c>
    </row>
    <row r="30">
      <c r="A30">
        <f>SALES_NORM!H30</f>
        <v/>
      </c>
      <c r="B30">
        <f>SALES_NORM!E30</f>
        <v/>
      </c>
      <c r="C30">
        <f>SALES_NORM!J30</f>
        <v/>
      </c>
      <c r="D30">
        <f>SALES_NORM!I30</f>
        <v/>
      </c>
      <c r="E30" s="6">
        <f>SALES_NORM!B30</f>
        <v/>
      </c>
      <c r="F30">
        <f>SALES_NORM!M30</f>
        <v/>
      </c>
    </row>
    <row r="31">
      <c r="A31">
        <f>SALES_NORM!H31</f>
        <v/>
      </c>
      <c r="B31">
        <f>SALES_NORM!E31</f>
        <v/>
      </c>
      <c r="C31">
        <f>SALES_NORM!J31</f>
        <v/>
      </c>
      <c r="D31">
        <f>SALES_NORM!I31</f>
        <v/>
      </c>
      <c r="E31" s="6">
        <f>SALES_NORM!B31</f>
        <v/>
      </c>
      <c r="F31">
        <f>SALES_NORM!M31</f>
        <v/>
      </c>
    </row>
    <row r="32">
      <c r="A32">
        <f>SALES_NORM!H32</f>
        <v/>
      </c>
      <c r="B32">
        <f>SALES_NORM!E32</f>
        <v/>
      </c>
      <c r="C32">
        <f>SALES_NORM!J32</f>
        <v/>
      </c>
      <c r="D32">
        <f>SALES_NORM!I32</f>
        <v/>
      </c>
      <c r="E32" s="6">
        <f>SALES_NORM!B32</f>
        <v/>
      </c>
      <c r="F32">
        <f>SALES_NORM!M32</f>
        <v/>
      </c>
    </row>
    <row r="33">
      <c r="A33">
        <f>SALES_NORM!H33</f>
        <v/>
      </c>
      <c r="B33">
        <f>SALES_NORM!E33</f>
        <v/>
      </c>
      <c r="C33">
        <f>SALES_NORM!J33</f>
        <v/>
      </c>
      <c r="D33">
        <f>SALES_NORM!I33</f>
        <v/>
      </c>
      <c r="E33" s="6">
        <f>SALES_NORM!B33</f>
        <v/>
      </c>
      <c r="F33">
        <f>SALES_NORM!M33</f>
        <v/>
      </c>
    </row>
    <row r="34">
      <c r="A34">
        <f>SALES_NORM!H34</f>
        <v/>
      </c>
      <c r="B34">
        <f>SALES_NORM!E34</f>
        <v/>
      </c>
      <c r="C34">
        <f>SALES_NORM!J34</f>
        <v/>
      </c>
      <c r="D34">
        <f>SALES_NORM!I34</f>
        <v/>
      </c>
      <c r="E34" s="6">
        <f>SALES_NORM!B34</f>
        <v/>
      </c>
      <c r="F34">
        <f>SALES_NORM!M34</f>
        <v/>
      </c>
    </row>
    <row r="35">
      <c r="A35">
        <f>SALES_NORM!H35</f>
        <v/>
      </c>
      <c r="B35">
        <f>SALES_NORM!E35</f>
        <v/>
      </c>
      <c r="C35">
        <f>SALES_NORM!J35</f>
        <v/>
      </c>
      <c r="D35">
        <f>SALES_NORM!I35</f>
        <v/>
      </c>
      <c r="E35" s="6">
        <f>SALES_NORM!B35</f>
        <v/>
      </c>
      <c r="F35">
        <f>SALES_NORM!M35</f>
        <v/>
      </c>
    </row>
    <row r="36">
      <c r="A36">
        <f>SALES_NORM!H36</f>
        <v/>
      </c>
      <c r="B36">
        <f>SALES_NORM!E36</f>
        <v/>
      </c>
      <c r="C36">
        <f>SALES_NORM!J36</f>
        <v/>
      </c>
      <c r="D36">
        <f>SALES_NORM!I36</f>
        <v/>
      </c>
      <c r="E36" s="6">
        <f>SALES_NORM!B36</f>
        <v/>
      </c>
      <c r="F36">
        <f>SALES_NORM!M36</f>
        <v/>
      </c>
    </row>
    <row r="37">
      <c r="A37">
        <f>SALES_NORM!H37</f>
        <v/>
      </c>
      <c r="B37">
        <f>SALES_NORM!E37</f>
        <v/>
      </c>
      <c r="C37">
        <f>SALES_NORM!J37</f>
        <v/>
      </c>
      <c r="D37">
        <f>SALES_NORM!I37</f>
        <v/>
      </c>
      <c r="E37" s="6">
        <f>SALES_NORM!B37</f>
        <v/>
      </c>
      <c r="F37">
        <f>SALES_NORM!M37</f>
        <v/>
      </c>
    </row>
    <row r="38">
      <c r="A38">
        <f>SALES_NORM!H38</f>
        <v/>
      </c>
      <c r="B38">
        <f>SALES_NORM!E38</f>
        <v/>
      </c>
      <c r="C38">
        <f>SALES_NORM!J38</f>
        <v/>
      </c>
      <c r="D38">
        <f>SALES_NORM!I38</f>
        <v/>
      </c>
      <c r="E38" s="6">
        <f>SALES_NORM!B38</f>
        <v/>
      </c>
      <c r="F38">
        <f>SALES_NORM!M38</f>
        <v/>
      </c>
    </row>
    <row r="39">
      <c r="A39">
        <f>SALES_NORM!H39</f>
        <v/>
      </c>
      <c r="B39">
        <f>SALES_NORM!E39</f>
        <v/>
      </c>
      <c r="C39">
        <f>SALES_NORM!J39</f>
        <v/>
      </c>
      <c r="D39">
        <f>SALES_NORM!I39</f>
        <v/>
      </c>
      <c r="E39" s="6">
        <f>SALES_NORM!B39</f>
        <v/>
      </c>
      <c r="F39">
        <f>SALES_NORM!M39</f>
        <v/>
      </c>
    </row>
    <row r="40">
      <c r="A40">
        <f>SALES_NORM!H40</f>
        <v/>
      </c>
      <c r="B40">
        <f>SALES_NORM!E40</f>
        <v/>
      </c>
      <c r="C40">
        <f>SALES_NORM!J40</f>
        <v/>
      </c>
      <c r="D40">
        <f>SALES_NORM!I40</f>
        <v/>
      </c>
      <c r="E40" s="6">
        <f>SALES_NORM!B40</f>
        <v/>
      </c>
      <c r="F40">
        <f>SALES_NORM!M40</f>
        <v/>
      </c>
    </row>
    <row r="41">
      <c r="A41">
        <f>SALES_NORM!H41</f>
        <v/>
      </c>
      <c r="B41">
        <f>SALES_NORM!E41</f>
        <v/>
      </c>
      <c r="C41">
        <f>SALES_NORM!J41</f>
        <v/>
      </c>
      <c r="D41">
        <f>SALES_NORM!I41</f>
        <v/>
      </c>
      <c r="E41" s="6">
        <f>SALES_NORM!B41</f>
        <v/>
      </c>
      <c r="F41">
        <f>SALES_NORM!M41</f>
        <v/>
      </c>
    </row>
    <row r="42">
      <c r="A42">
        <f>SALES_NORM!H42</f>
        <v/>
      </c>
      <c r="B42">
        <f>SALES_NORM!E42</f>
        <v/>
      </c>
      <c r="C42">
        <f>SALES_NORM!J42</f>
        <v/>
      </c>
      <c r="D42">
        <f>SALES_NORM!I42</f>
        <v/>
      </c>
      <c r="E42" s="6">
        <f>SALES_NORM!B42</f>
        <v/>
      </c>
      <c r="F42">
        <f>SALES_NORM!M42</f>
        <v/>
      </c>
    </row>
    <row r="43">
      <c r="A43">
        <f>SALES_NORM!H43</f>
        <v/>
      </c>
      <c r="B43">
        <f>SALES_NORM!E43</f>
        <v/>
      </c>
      <c r="C43">
        <f>SALES_NORM!J43</f>
        <v/>
      </c>
      <c r="D43">
        <f>SALES_NORM!I43</f>
        <v/>
      </c>
      <c r="E43" s="6">
        <f>SALES_NORM!B43</f>
        <v/>
      </c>
      <c r="F43">
        <f>SALES_NORM!M43</f>
        <v/>
      </c>
    </row>
    <row r="44">
      <c r="A44">
        <f>SALES_NORM!H44</f>
        <v/>
      </c>
      <c r="B44">
        <f>SALES_NORM!E44</f>
        <v/>
      </c>
      <c r="C44">
        <f>SALES_NORM!J44</f>
        <v/>
      </c>
      <c r="D44">
        <f>SALES_NORM!I44</f>
        <v/>
      </c>
      <c r="E44" s="6">
        <f>SALES_NORM!B44</f>
        <v/>
      </c>
      <c r="F44">
        <f>SALES_NORM!M44</f>
        <v/>
      </c>
    </row>
    <row r="45">
      <c r="A45">
        <f>SALES_NORM!H45</f>
        <v/>
      </c>
      <c r="B45">
        <f>SALES_NORM!E45</f>
        <v/>
      </c>
      <c r="C45">
        <f>SALES_NORM!J45</f>
        <v/>
      </c>
      <c r="D45">
        <f>SALES_NORM!I45</f>
        <v/>
      </c>
      <c r="E45" s="6">
        <f>SALES_NORM!B45</f>
        <v/>
      </c>
      <c r="F45">
        <f>SALES_NORM!M45</f>
        <v/>
      </c>
    </row>
    <row r="46">
      <c r="A46">
        <f>SALES_NORM!H46</f>
        <v/>
      </c>
      <c r="B46">
        <f>SALES_NORM!E46</f>
        <v/>
      </c>
      <c r="C46">
        <f>SALES_NORM!J46</f>
        <v/>
      </c>
      <c r="D46">
        <f>SALES_NORM!I46</f>
        <v/>
      </c>
      <c r="E46" s="6">
        <f>SALES_NORM!B46</f>
        <v/>
      </c>
      <c r="F46">
        <f>SALES_NORM!M46</f>
        <v/>
      </c>
    </row>
    <row r="47">
      <c r="A47">
        <f>SALES_NORM!H47</f>
        <v/>
      </c>
      <c r="B47">
        <f>SALES_NORM!E47</f>
        <v/>
      </c>
      <c r="C47">
        <f>SALES_NORM!J47</f>
        <v/>
      </c>
      <c r="D47">
        <f>SALES_NORM!I47</f>
        <v/>
      </c>
      <c r="E47" s="6">
        <f>SALES_NORM!B47</f>
        <v/>
      </c>
      <c r="F47">
        <f>SALES_NORM!M47</f>
        <v/>
      </c>
    </row>
    <row r="48">
      <c r="A48">
        <f>SALES_NORM!H48</f>
        <v/>
      </c>
      <c r="B48">
        <f>SALES_NORM!E48</f>
        <v/>
      </c>
      <c r="C48">
        <f>SALES_NORM!J48</f>
        <v/>
      </c>
      <c r="D48">
        <f>SALES_NORM!I48</f>
        <v/>
      </c>
      <c r="E48" s="6">
        <f>SALES_NORM!B48</f>
        <v/>
      </c>
      <c r="F48">
        <f>SALES_NORM!M48</f>
        <v/>
      </c>
    </row>
    <row r="49">
      <c r="A49">
        <f>SALES_NORM!H49</f>
        <v/>
      </c>
      <c r="B49">
        <f>SALES_NORM!E49</f>
        <v/>
      </c>
      <c r="C49">
        <f>SALES_NORM!J49</f>
        <v/>
      </c>
      <c r="D49">
        <f>SALES_NORM!I49</f>
        <v/>
      </c>
      <c r="E49" s="6">
        <f>SALES_NORM!B49</f>
        <v/>
      </c>
      <c r="F49">
        <f>SALES_NORM!M49</f>
        <v/>
      </c>
    </row>
    <row r="50">
      <c r="A50">
        <f>SALES_NORM!H50</f>
        <v/>
      </c>
      <c r="B50">
        <f>SALES_NORM!E50</f>
        <v/>
      </c>
      <c r="C50">
        <f>SALES_NORM!J50</f>
        <v/>
      </c>
      <c r="D50">
        <f>SALES_NORM!I50</f>
        <v/>
      </c>
      <c r="E50" s="6">
        <f>SALES_NORM!B50</f>
        <v/>
      </c>
      <c r="F50">
        <f>SALES_NORM!M50</f>
        <v/>
      </c>
    </row>
    <row r="51">
      <c r="A51">
        <f>SALES_NORM!H51</f>
        <v/>
      </c>
      <c r="B51">
        <f>SALES_NORM!E51</f>
        <v/>
      </c>
      <c r="C51">
        <f>SALES_NORM!J51</f>
        <v/>
      </c>
      <c r="D51">
        <f>SALES_NORM!I51</f>
        <v/>
      </c>
      <c r="E51" s="6">
        <f>SALES_NORM!B51</f>
        <v/>
      </c>
      <c r="F51">
        <f>SALES_NORM!M51</f>
        <v/>
      </c>
    </row>
    <row r="52">
      <c r="A52">
        <f>SALES_NORM!H52</f>
        <v/>
      </c>
      <c r="B52">
        <f>SALES_NORM!E52</f>
        <v/>
      </c>
      <c r="C52">
        <f>SALES_NORM!J52</f>
        <v/>
      </c>
      <c r="D52">
        <f>SALES_NORM!I52</f>
        <v/>
      </c>
      <c r="E52" s="6">
        <f>SALES_NORM!B52</f>
        <v/>
      </c>
      <c r="F52">
        <f>SALES_NORM!M52</f>
        <v/>
      </c>
    </row>
    <row r="53">
      <c r="A53">
        <f>SALES_NORM!H53</f>
        <v/>
      </c>
      <c r="B53">
        <f>SALES_NORM!E53</f>
        <v/>
      </c>
      <c r="C53">
        <f>SALES_NORM!J53</f>
        <v/>
      </c>
      <c r="D53">
        <f>SALES_NORM!I53</f>
        <v/>
      </c>
      <c r="E53" s="6">
        <f>SALES_NORM!B53</f>
        <v/>
      </c>
      <c r="F53">
        <f>SALES_NORM!M53</f>
        <v/>
      </c>
    </row>
    <row r="54">
      <c r="A54">
        <f>SALES_NORM!H54</f>
        <v/>
      </c>
      <c r="B54">
        <f>SALES_NORM!E54</f>
        <v/>
      </c>
      <c r="C54">
        <f>SALES_NORM!J54</f>
        <v/>
      </c>
      <c r="D54">
        <f>SALES_NORM!I54</f>
        <v/>
      </c>
      <c r="E54" s="6">
        <f>SALES_NORM!B54</f>
        <v/>
      </c>
      <c r="F54">
        <f>SALES_NORM!M54</f>
        <v/>
      </c>
    </row>
    <row r="55">
      <c r="A55">
        <f>SALES_NORM!H55</f>
        <v/>
      </c>
      <c r="B55">
        <f>SALES_NORM!E55</f>
        <v/>
      </c>
      <c r="C55">
        <f>SALES_NORM!J55</f>
        <v/>
      </c>
      <c r="D55">
        <f>SALES_NORM!I55</f>
        <v/>
      </c>
      <c r="E55" s="6">
        <f>SALES_NORM!B55</f>
        <v/>
      </c>
      <c r="F55">
        <f>SALES_NORM!M55</f>
        <v/>
      </c>
    </row>
    <row r="56">
      <c r="A56">
        <f>SALES_NORM!H56</f>
        <v/>
      </c>
      <c r="B56">
        <f>SALES_NORM!E56</f>
        <v/>
      </c>
      <c r="C56">
        <f>SALES_NORM!J56</f>
        <v/>
      </c>
      <c r="D56">
        <f>SALES_NORM!I56</f>
        <v/>
      </c>
      <c r="E56" s="6">
        <f>SALES_NORM!B56</f>
        <v/>
      </c>
      <c r="F56">
        <f>SALES_NORM!M56</f>
        <v/>
      </c>
    </row>
    <row r="57">
      <c r="A57">
        <f>SALES_NORM!H57</f>
        <v/>
      </c>
      <c r="B57">
        <f>SALES_NORM!E57</f>
        <v/>
      </c>
      <c r="C57">
        <f>SALES_NORM!J57</f>
        <v/>
      </c>
      <c r="D57">
        <f>SALES_NORM!I57</f>
        <v/>
      </c>
      <c r="E57" s="6">
        <f>SALES_NORM!B57</f>
        <v/>
      </c>
      <c r="F57">
        <f>SALES_NORM!M57</f>
        <v/>
      </c>
    </row>
    <row r="58">
      <c r="A58">
        <f>SALES_NORM!H58</f>
        <v/>
      </c>
      <c r="B58">
        <f>SALES_NORM!E58</f>
        <v/>
      </c>
      <c r="C58">
        <f>SALES_NORM!J58</f>
        <v/>
      </c>
      <c r="D58">
        <f>SALES_NORM!I58</f>
        <v/>
      </c>
      <c r="E58" s="6">
        <f>SALES_NORM!B58</f>
        <v/>
      </c>
      <c r="F58">
        <f>SALES_NORM!M58</f>
        <v/>
      </c>
    </row>
    <row r="59">
      <c r="A59">
        <f>SALES_NORM!H59</f>
        <v/>
      </c>
      <c r="B59">
        <f>SALES_NORM!E59</f>
        <v/>
      </c>
      <c r="C59">
        <f>SALES_NORM!J59</f>
        <v/>
      </c>
      <c r="D59">
        <f>SALES_NORM!I59</f>
        <v/>
      </c>
      <c r="E59" s="6">
        <f>SALES_NORM!B59</f>
        <v/>
      </c>
      <c r="F59">
        <f>SALES_NORM!M59</f>
        <v/>
      </c>
    </row>
    <row r="60">
      <c r="A60">
        <f>SALES_NORM!H60</f>
        <v/>
      </c>
      <c r="B60">
        <f>SALES_NORM!E60</f>
        <v/>
      </c>
      <c r="C60">
        <f>SALES_NORM!J60</f>
        <v/>
      </c>
      <c r="D60">
        <f>SALES_NORM!I60</f>
        <v/>
      </c>
      <c r="E60" s="6">
        <f>SALES_NORM!B60</f>
        <v/>
      </c>
      <c r="F60">
        <f>SALES_NORM!M60</f>
        <v/>
      </c>
    </row>
    <row r="61">
      <c r="A61">
        <f>SALES_NORM!H61</f>
        <v/>
      </c>
      <c r="B61">
        <f>SALES_NORM!E61</f>
        <v/>
      </c>
      <c r="C61">
        <f>SALES_NORM!J61</f>
        <v/>
      </c>
      <c r="D61">
        <f>SALES_NORM!I61</f>
        <v/>
      </c>
      <c r="E61" s="6">
        <f>SALES_NORM!B61</f>
        <v/>
      </c>
      <c r="F61">
        <f>SALES_NORM!M61</f>
        <v/>
      </c>
    </row>
    <row r="62">
      <c r="A62">
        <f>SALES_NORM!H62</f>
        <v/>
      </c>
      <c r="B62">
        <f>SALES_NORM!E62</f>
        <v/>
      </c>
      <c r="C62">
        <f>SALES_NORM!J62</f>
        <v/>
      </c>
      <c r="D62">
        <f>SALES_NORM!I62</f>
        <v/>
      </c>
      <c r="E62" s="6">
        <f>SALES_NORM!B62</f>
        <v/>
      </c>
      <c r="F62">
        <f>SALES_NORM!M62</f>
        <v/>
      </c>
    </row>
    <row r="63">
      <c r="A63">
        <f>SALES_NORM!H63</f>
        <v/>
      </c>
      <c r="B63">
        <f>SALES_NORM!E63</f>
        <v/>
      </c>
      <c r="C63">
        <f>SALES_NORM!J63</f>
        <v/>
      </c>
      <c r="D63">
        <f>SALES_NORM!I63</f>
        <v/>
      </c>
      <c r="E63" s="6">
        <f>SALES_NORM!B63</f>
        <v/>
      </c>
      <c r="F63">
        <f>SALES_NORM!M63</f>
        <v/>
      </c>
    </row>
    <row r="64">
      <c r="A64">
        <f>SALES_NORM!H64</f>
        <v/>
      </c>
      <c r="B64">
        <f>SALES_NORM!E64</f>
        <v/>
      </c>
      <c r="C64">
        <f>SALES_NORM!J64</f>
        <v/>
      </c>
      <c r="D64">
        <f>SALES_NORM!I64</f>
        <v/>
      </c>
      <c r="E64" s="6">
        <f>SALES_NORM!B64</f>
        <v/>
      </c>
      <c r="F64">
        <f>SALES_NORM!M64</f>
        <v/>
      </c>
    </row>
    <row r="65">
      <c r="A65">
        <f>SALES_NORM!H65</f>
        <v/>
      </c>
      <c r="B65">
        <f>SALES_NORM!E65</f>
        <v/>
      </c>
      <c r="C65">
        <f>SALES_NORM!J65</f>
        <v/>
      </c>
      <c r="D65">
        <f>SALES_NORM!I65</f>
        <v/>
      </c>
      <c r="E65" s="6">
        <f>SALES_NORM!B65</f>
        <v/>
      </c>
      <c r="F65">
        <f>SALES_NORM!M65</f>
        <v/>
      </c>
    </row>
    <row r="66">
      <c r="A66">
        <f>SALES_NORM!H66</f>
        <v/>
      </c>
      <c r="B66">
        <f>SALES_NORM!E66</f>
        <v/>
      </c>
      <c r="C66">
        <f>SALES_NORM!J66</f>
        <v/>
      </c>
      <c r="D66">
        <f>SALES_NORM!I66</f>
        <v/>
      </c>
      <c r="E66" s="6">
        <f>SALES_NORM!B66</f>
        <v/>
      </c>
      <c r="F66">
        <f>SALES_NORM!M66</f>
        <v/>
      </c>
    </row>
    <row r="67">
      <c r="A67">
        <f>SALES_NORM!H67</f>
        <v/>
      </c>
      <c r="B67">
        <f>SALES_NORM!E67</f>
        <v/>
      </c>
      <c r="C67">
        <f>SALES_NORM!J67</f>
        <v/>
      </c>
      <c r="D67">
        <f>SALES_NORM!I67</f>
        <v/>
      </c>
      <c r="E67" s="6">
        <f>SALES_NORM!B67</f>
        <v/>
      </c>
      <c r="F67">
        <f>SALES_NORM!M67</f>
        <v/>
      </c>
    </row>
    <row r="68">
      <c r="A68">
        <f>SALES_NORM!H68</f>
        <v/>
      </c>
      <c r="B68">
        <f>SALES_NORM!E68</f>
        <v/>
      </c>
      <c r="C68">
        <f>SALES_NORM!J68</f>
        <v/>
      </c>
      <c r="D68">
        <f>SALES_NORM!I68</f>
        <v/>
      </c>
      <c r="E68" s="6">
        <f>SALES_NORM!B68</f>
        <v/>
      </c>
      <c r="F68">
        <f>SALES_NORM!M68</f>
        <v/>
      </c>
    </row>
    <row r="69">
      <c r="A69">
        <f>SALES_NORM!H69</f>
        <v/>
      </c>
      <c r="B69">
        <f>SALES_NORM!E69</f>
        <v/>
      </c>
      <c r="C69">
        <f>SALES_NORM!J69</f>
        <v/>
      </c>
      <c r="D69">
        <f>SALES_NORM!I69</f>
        <v/>
      </c>
      <c r="E69" s="6">
        <f>SALES_NORM!B69</f>
        <v/>
      </c>
      <c r="F69">
        <f>SALES_NORM!M69</f>
        <v/>
      </c>
    </row>
    <row r="70">
      <c r="A70">
        <f>SALES_NORM!H70</f>
        <v/>
      </c>
      <c r="B70">
        <f>SALES_NORM!E70</f>
        <v/>
      </c>
      <c r="C70">
        <f>SALES_NORM!J70</f>
        <v/>
      </c>
      <c r="D70">
        <f>SALES_NORM!I70</f>
        <v/>
      </c>
      <c r="E70" s="6">
        <f>SALES_NORM!B70</f>
        <v/>
      </c>
      <c r="F70">
        <f>SALES_NORM!M70</f>
        <v/>
      </c>
    </row>
    <row r="71">
      <c r="A71">
        <f>SALES_NORM!H71</f>
        <v/>
      </c>
      <c r="B71">
        <f>SALES_NORM!E71</f>
        <v/>
      </c>
      <c r="C71">
        <f>SALES_NORM!J71</f>
        <v/>
      </c>
      <c r="D71">
        <f>SALES_NORM!I71</f>
        <v/>
      </c>
      <c r="E71" s="6">
        <f>SALES_NORM!B71</f>
        <v/>
      </c>
      <c r="F71">
        <f>SALES_NORM!M71</f>
        <v/>
      </c>
    </row>
    <row r="72">
      <c r="A72">
        <f>SALES_NORM!H72</f>
        <v/>
      </c>
      <c r="B72">
        <f>SALES_NORM!E72</f>
        <v/>
      </c>
      <c r="C72">
        <f>SALES_NORM!J72</f>
        <v/>
      </c>
      <c r="D72">
        <f>SALES_NORM!I72</f>
        <v/>
      </c>
      <c r="E72" s="6">
        <f>SALES_NORM!B72</f>
        <v/>
      </c>
      <c r="F72">
        <f>SALES_NORM!M72</f>
        <v/>
      </c>
    </row>
    <row r="73">
      <c r="A73">
        <f>SALES_NORM!H73</f>
        <v/>
      </c>
      <c r="B73">
        <f>SALES_NORM!E73</f>
        <v/>
      </c>
      <c r="C73">
        <f>SALES_NORM!J73</f>
        <v/>
      </c>
      <c r="D73">
        <f>SALES_NORM!I73</f>
        <v/>
      </c>
      <c r="E73" s="6">
        <f>SALES_NORM!B73</f>
        <v/>
      </c>
      <c r="F73">
        <f>SALES_NORM!M73</f>
        <v/>
      </c>
    </row>
    <row r="74">
      <c r="A74">
        <f>SALES_NORM!H74</f>
        <v/>
      </c>
      <c r="B74">
        <f>SALES_NORM!E74</f>
        <v/>
      </c>
      <c r="C74">
        <f>SALES_NORM!J74</f>
        <v/>
      </c>
      <c r="D74">
        <f>SALES_NORM!I74</f>
        <v/>
      </c>
      <c r="E74" s="6">
        <f>SALES_NORM!B74</f>
        <v/>
      </c>
      <c r="F74">
        <f>SALES_NORM!M74</f>
        <v/>
      </c>
    </row>
    <row r="75">
      <c r="A75">
        <f>SALES_NORM!H75</f>
        <v/>
      </c>
      <c r="B75">
        <f>SALES_NORM!E75</f>
        <v/>
      </c>
      <c r="C75">
        <f>SALES_NORM!J75</f>
        <v/>
      </c>
      <c r="D75">
        <f>SALES_NORM!I75</f>
        <v/>
      </c>
      <c r="E75" s="6">
        <f>SALES_NORM!B75</f>
        <v/>
      </c>
      <c r="F75">
        <f>SALES_NORM!M75</f>
        <v/>
      </c>
    </row>
    <row r="76">
      <c r="A76">
        <f>SALES_NORM!H76</f>
        <v/>
      </c>
      <c r="B76">
        <f>SALES_NORM!E76</f>
        <v/>
      </c>
      <c r="C76">
        <f>SALES_NORM!J76</f>
        <v/>
      </c>
      <c r="D76">
        <f>SALES_NORM!I76</f>
        <v/>
      </c>
      <c r="E76" s="6">
        <f>SALES_NORM!B76</f>
        <v/>
      </c>
      <c r="F76">
        <f>SALES_NORM!M76</f>
        <v/>
      </c>
    </row>
    <row r="77">
      <c r="A77">
        <f>SALES_NORM!H77</f>
        <v/>
      </c>
      <c r="B77">
        <f>SALES_NORM!E77</f>
        <v/>
      </c>
      <c r="C77">
        <f>SALES_NORM!J77</f>
        <v/>
      </c>
      <c r="D77">
        <f>SALES_NORM!I77</f>
        <v/>
      </c>
      <c r="E77" s="6">
        <f>SALES_NORM!B77</f>
        <v/>
      </c>
      <c r="F77">
        <f>SALES_NORM!M77</f>
        <v/>
      </c>
    </row>
    <row r="78">
      <c r="A78">
        <f>SALES_NORM!H78</f>
        <v/>
      </c>
      <c r="B78">
        <f>SALES_NORM!E78</f>
        <v/>
      </c>
      <c r="C78">
        <f>SALES_NORM!J78</f>
        <v/>
      </c>
      <c r="D78">
        <f>SALES_NORM!I78</f>
        <v/>
      </c>
      <c r="E78" s="6">
        <f>SALES_NORM!B78</f>
        <v/>
      </c>
      <c r="F78">
        <f>SALES_NORM!M78</f>
        <v/>
      </c>
    </row>
    <row r="79">
      <c r="A79">
        <f>SALES_NORM!H79</f>
        <v/>
      </c>
      <c r="B79">
        <f>SALES_NORM!E79</f>
        <v/>
      </c>
      <c r="C79">
        <f>SALES_NORM!J79</f>
        <v/>
      </c>
      <c r="D79">
        <f>SALES_NORM!I79</f>
        <v/>
      </c>
      <c r="E79" s="6">
        <f>SALES_NORM!B79</f>
        <v/>
      </c>
      <c r="F79">
        <f>SALES_NORM!M79</f>
        <v/>
      </c>
    </row>
    <row r="80">
      <c r="A80">
        <f>SALES_NORM!H80</f>
        <v/>
      </c>
      <c r="B80">
        <f>SALES_NORM!E80</f>
        <v/>
      </c>
      <c r="C80">
        <f>SALES_NORM!J80</f>
        <v/>
      </c>
      <c r="D80">
        <f>SALES_NORM!I80</f>
        <v/>
      </c>
      <c r="E80" s="6">
        <f>SALES_NORM!B80</f>
        <v/>
      </c>
      <c r="F80">
        <f>SALES_NORM!M80</f>
        <v/>
      </c>
    </row>
    <row r="81">
      <c r="A81">
        <f>SALES_NORM!H81</f>
        <v/>
      </c>
      <c r="B81">
        <f>SALES_NORM!E81</f>
        <v/>
      </c>
      <c r="C81">
        <f>SALES_NORM!J81</f>
        <v/>
      </c>
      <c r="D81">
        <f>SALES_NORM!I81</f>
        <v/>
      </c>
      <c r="E81" s="6">
        <f>SALES_NORM!B81</f>
        <v/>
      </c>
      <c r="F81">
        <f>SALES_NORM!M81</f>
        <v/>
      </c>
    </row>
    <row r="82">
      <c r="A82">
        <f>SALES_NORM!H82</f>
        <v/>
      </c>
      <c r="B82">
        <f>SALES_NORM!E82</f>
        <v/>
      </c>
      <c r="C82">
        <f>SALES_NORM!J82</f>
        <v/>
      </c>
      <c r="D82">
        <f>SALES_NORM!I82</f>
        <v/>
      </c>
      <c r="E82" s="6">
        <f>SALES_NORM!B82</f>
        <v/>
      </c>
      <c r="F82">
        <f>SALES_NORM!M82</f>
        <v/>
      </c>
    </row>
    <row r="83">
      <c r="A83">
        <f>SALES_NORM!H83</f>
        <v/>
      </c>
      <c r="B83">
        <f>SALES_NORM!E83</f>
        <v/>
      </c>
      <c r="C83">
        <f>SALES_NORM!J83</f>
        <v/>
      </c>
      <c r="D83">
        <f>SALES_NORM!I83</f>
        <v/>
      </c>
      <c r="E83" s="6">
        <f>SALES_NORM!B83</f>
        <v/>
      </c>
      <c r="F83">
        <f>SALES_NORM!M83</f>
        <v/>
      </c>
    </row>
    <row r="84">
      <c r="A84">
        <f>SALES_NORM!H84</f>
        <v/>
      </c>
      <c r="B84">
        <f>SALES_NORM!E84</f>
        <v/>
      </c>
      <c r="C84">
        <f>SALES_NORM!J84</f>
        <v/>
      </c>
      <c r="D84">
        <f>SALES_NORM!I84</f>
        <v/>
      </c>
      <c r="E84" s="6">
        <f>SALES_NORM!B84</f>
        <v/>
      </c>
      <c r="F84">
        <f>SALES_NORM!M84</f>
        <v/>
      </c>
    </row>
    <row r="85">
      <c r="A85">
        <f>SALES_NORM!H85</f>
        <v/>
      </c>
      <c r="B85">
        <f>SALES_NORM!E85</f>
        <v/>
      </c>
      <c r="C85">
        <f>SALES_NORM!J85</f>
        <v/>
      </c>
      <c r="D85">
        <f>SALES_NORM!I85</f>
        <v/>
      </c>
      <c r="E85" s="6">
        <f>SALES_NORM!B85</f>
        <v/>
      </c>
      <c r="F85">
        <f>SALES_NORM!M85</f>
        <v/>
      </c>
    </row>
    <row r="86">
      <c r="A86">
        <f>SALES_NORM!H86</f>
        <v/>
      </c>
      <c r="B86">
        <f>SALES_NORM!E86</f>
        <v/>
      </c>
      <c r="C86">
        <f>SALES_NORM!J86</f>
        <v/>
      </c>
      <c r="D86">
        <f>SALES_NORM!I86</f>
        <v/>
      </c>
      <c r="E86" s="6">
        <f>SALES_NORM!B86</f>
        <v/>
      </c>
      <c r="F86">
        <f>SALES_NORM!M86</f>
        <v/>
      </c>
    </row>
    <row r="87">
      <c r="A87">
        <f>SALES_NORM!H87</f>
        <v/>
      </c>
      <c r="B87">
        <f>SALES_NORM!E87</f>
        <v/>
      </c>
      <c r="C87">
        <f>SALES_NORM!J87</f>
        <v/>
      </c>
      <c r="D87">
        <f>SALES_NORM!I87</f>
        <v/>
      </c>
      <c r="E87" s="6">
        <f>SALES_NORM!B87</f>
        <v/>
      </c>
      <c r="F87">
        <f>SALES_NORM!M87</f>
        <v/>
      </c>
    </row>
    <row r="88">
      <c r="A88">
        <f>SALES_NORM!H88</f>
        <v/>
      </c>
      <c r="B88">
        <f>SALES_NORM!E88</f>
        <v/>
      </c>
      <c r="C88">
        <f>SALES_NORM!J88</f>
        <v/>
      </c>
      <c r="D88">
        <f>SALES_NORM!I88</f>
        <v/>
      </c>
      <c r="E88" s="6">
        <f>SALES_NORM!B88</f>
        <v/>
      </c>
      <c r="F88">
        <f>SALES_NORM!M88</f>
        <v/>
      </c>
    </row>
    <row r="89">
      <c r="A89">
        <f>SALES_NORM!H89</f>
        <v/>
      </c>
      <c r="B89">
        <f>SALES_NORM!E89</f>
        <v/>
      </c>
      <c r="C89">
        <f>SALES_NORM!J89</f>
        <v/>
      </c>
      <c r="D89">
        <f>SALES_NORM!I89</f>
        <v/>
      </c>
      <c r="E89" s="6">
        <f>SALES_NORM!B89</f>
        <v/>
      </c>
      <c r="F89">
        <f>SALES_NORM!M89</f>
        <v/>
      </c>
    </row>
    <row r="90">
      <c r="A90">
        <f>SALES_NORM!H90</f>
        <v/>
      </c>
      <c r="B90">
        <f>SALES_NORM!E90</f>
        <v/>
      </c>
      <c r="C90">
        <f>SALES_NORM!J90</f>
        <v/>
      </c>
      <c r="D90">
        <f>SALES_NORM!I90</f>
        <v/>
      </c>
      <c r="E90" s="6">
        <f>SALES_NORM!B90</f>
        <v/>
      </c>
      <c r="F90">
        <f>SALES_NORM!M90</f>
        <v/>
      </c>
    </row>
    <row r="91">
      <c r="A91">
        <f>SALES_NORM!H91</f>
        <v/>
      </c>
      <c r="B91">
        <f>SALES_NORM!E91</f>
        <v/>
      </c>
      <c r="C91">
        <f>SALES_NORM!J91</f>
        <v/>
      </c>
      <c r="D91">
        <f>SALES_NORM!I91</f>
        <v/>
      </c>
      <c r="E91" s="6">
        <f>SALES_NORM!B91</f>
        <v/>
      </c>
      <c r="F91">
        <f>SALES_NORM!M91</f>
        <v/>
      </c>
    </row>
    <row r="92">
      <c r="A92">
        <f>SALES_NORM!H92</f>
        <v/>
      </c>
      <c r="B92">
        <f>SALES_NORM!E92</f>
        <v/>
      </c>
      <c r="C92">
        <f>SALES_NORM!J92</f>
        <v/>
      </c>
      <c r="D92">
        <f>SALES_NORM!I92</f>
        <v/>
      </c>
      <c r="E92" s="6">
        <f>SALES_NORM!B92</f>
        <v/>
      </c>
      <c r="F92">
        <f>SALES_NORM!M92</f>
        <v/>
      </c>
    </row>
    <row r="93">
      <c r="A93">
        <f>SALES_NORM!H93</f>
        <v/>
      </c>
      <c r="B93">
        <f>SALES_NORM!E93</f>
        <v/>
      </c>
      <c r="C93">
        <f>SALES_NORM!J93</f>
        <v/>
      </c>
      <c r="D93">
        <f>SALES_NORM!I93</f>
        <v/>
      </c>
      <c r="E93" s="6">
        <f>SALES_NORM!B93</f>
        <v/>
      </c>
      <c r="F93">
        <f>SALES_NORM!M93</f>
        <v/>
      </c>
    </row>
    <row r="94">
      <c r="A94">
        <f>SALES_NORM!H94</f>
        <v/>
      </c>
      <c r="B94">
        <f>SALES_NORM!E94</f>
        <v/>
      </c>
      <c r="C94">
        <f>SALES_NORM!J94</f>
        <v/>
      </c>
      <c r="D94">
        <f>SALES_NORM!I94</f>
        <v/>
      </c>
      <c r="E94" s="6">
        <f>SALES_NORM!B94</f>
        <v/>
      </c>
      <c r="F94">
        <f>SALES_NORM!M94</f>
        <v/>
      </c>
    </row>
    <row r="95">
      <c r="A95">
        <f>SALES_NORM!H95</f>
        <v/>
      </c>
      <c r="B95">
        <f>SALES_NORM!E95</f>
        <v/>
      </c>
      <c r="C95">
        <f>SALES_NORM!J95</f>
        <v/>
      </c>
      <c r="D95">
        <f>SALES_NORM!I95</f>
        <v/>
      </c>
      <c r="E95" s="6">
        <f>SALES_NORM!B95</f>
        <v/>
      </c>
      <c r="F95">
        <f>SALES_NORM!M95</f>
        <v/>
      </c>
    </row>
    <row r="96">
      <c r="A96">
        <f>SALES_NORM!H96</f>
        <v/>
      </c>
      <c r="B96">
        <f>SALES_NORM!E96</f>
        <v/>
      </c>
      <c r="C96">
        <f>SALES_NORM!J96</f>
        <v/>
      </c>
      <c r="D96">
        <f>SALES_NORM!I96</f>
        <v/>
      </c>
      <c r="E96" s="6">
        <f>SALES_NORM!B96</f>
        <v/>
      </c>
      <c r="F96">
        <f>SALES_NORM!M96</f>
        <v/>
      </c>
    </row>
    <row r="97">
      <c r="A97">
        <f>SALES_NORM!H97</f>
        <v/>
      </c>
      <c r="B97">
        <f>SALES_NORM!E97</f>
        <v/>
      </c>
      <c r="C97">
        <f>SALES_NORM!J97</f>
        <v/>
      </c>
      <c r="D97">
        <f>SALES_NORM!I97</f>
        <v/>
      </c>
      <c r="E97" s="6">
        <f>SALES_NORM!B97</f>
        <v/>
      </c>
      <c r="F97">
        <f>SALES_NORM!M97</f>
        <v/>
      </c>
    </row>
    <row r="98">
      <c r="A98">
        <f>SALES_NORM!H98</f>
        <v/>
      </c>
      <c r="B98">
        <f>SALES_NORM!E98</f>
        <v/>
      </c>
      <c r="C98">
        <f>SALES_NORM!J98</f>
        <v/>
      </c>
      <c r="D98">
        <f>SALES_NORM!I98</f>
        <v/>
      </c>
      <c r="E98" s="6">
        <f>SALES_NORM!B98</f>
        <v/>
      </c>
      <c r="F98">
        <f>SALES_NORM!M98</f>
        <v/>
      </c>
    </row>
    <row r="99">
      <c r="A99">
        <f>SALES_NORM!H99</f>
        <v/>
      </c>
      <c r="B99">
        <f>SALES_NORM!E99</f>
        <v/>
      </c>
      <c r="C99">
        <f>SALES_NORM!J99</f>
        <v/>
      </c>
      <c r="D99">
        <f>SALES_NORM!I99</f>
        <v/>
      </c>
      <c r="E99" s="6">
        <f>SALES_NORM!B99</f>
        <v/>
      </c>
      <c r="F99">
        <f>SALES_NORM!M99</f>
        <v/>
      </c>
    </row>
    <row r="100">
      <c r="A100">
        <f>SALES_NORM!H100</f>
        <v/>
      </c>
      <c r="B100">
        <f>SALES_NORM!E100</f>
        <v/>
      </c>
      <c r="C100">
        <f>SALES_NORM!J100</f>
        <v/>
      </c>
      <c r="D100">
        <f>SALES_NORM!I100</f>
        <v/>
      </c>
      <c r="E100" s="6">
        <f>SALES_NORM!B100</f>
        <v/>
      </c>
      <c r="F100">
        <f>SALES_NORM!M100</f>
        <v/>
      </c>
    </row>
    <row r="101">
      <c r="A101">
        <f>SALES_NORM!H101</f>
        <v/>
      </c>
      <c r="B101">
        <f>SALES_NORM!E101</f>
        <v/>
      </c>
      <c r="C101">
        <f>SALES_NORM!J101</f>
        <v/>
      </c>
      <c r="D101">
        <f>SALES_NORM!I101</f>
        <v/>
      </c>
      <c r="E101" s="6">
        <f>SALES_NORM!B101</f>
        <v/>
      </c>
      <c r="F101">
        <f>SALES_NORM!M101</f>
        <v/>
      </c>
    </row>
  </sheetData>
  <autoFilter ref="A1:F10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2" t="inlineStr">
        <is>
          <t>VendingMachineId</t>
        </is>
      </c>
      <c r="B1" s="2" t="inlineStr">
        <is>
          <t>MaintenanceDate</t>
        </is>
      </c>
      <c r="C1" s="2" t="inlineStr">
        <is>
          <t>WorkDescription</t>
        </is>
      </c>
      <c r="D1" s="2" t="inlineStr">
        <is>
          <t>Problems</t>
        </is>
      </c>
      <c r="E1" s="2" t="inlineStr">
        <is>
          <t>ExecutorUserAccountId</t>
        </is>
      </c>
    </row>
    <row r="2">
      <c r="A2">
        <f>MAINT_NORM!E2</f>
        <v/>
      </c>
      <c r="B2" s="4">
        <f>MAINT_NORM!B2</f>
        <v/>
      </c>
      <c r="C2">
        <f>MAINT_NORM!I2</f>
        <v/>
      </c>
      <c r="D2">
        <f>MAINT_NORM!H2</f>
        <v/>
      </c>
      <c r="E2">
        <f>MAINT_NORM!G2</f>
        <v/>
      </c>
    </row>
    <row r="3">
      <c r="A3">
        <f>MAINT_NORM!E3</f>
        <v/>
      </c>
      <c r="B3" s="4">
        <f>MAINT_NORM!B3</f>
        <v/>
      </c>
      <c r="C3">
        <f>MAINT_NORM!I3</f>
        <v/>
      </c>
      <c r="D3">
        <f>MAINT_NORM!H3</f>
        <v/>
      </c>
      <c r="E3">
        <f>MAINT_NORM!G3</f>
        <v/>
      </c>
    </row>
    <row r="4">
      <c r="A4">
        <f>MAINT_NORM!E4</f>
        <v/>
      </c>
      <c r="B4" s="4">
        <f>MAINT_NORM!B4</f>
        <v/>
      </c>
      <c r="C4">
        <f>MAINT_NORM!I4</f>
        <v/>
      </c>
      <c r="D4">
        <f>MAINT_NORM!H4</f>
        <v/>
      </c>
      <c r="E4">
        <f>MAINT_NORM!G4</f>
        <v/>
      </c>
    </row>
    <row r="5">
      <c r="A5">
        <f>MAINT_NORM!E5</f>
        <v/>
      </c>
      <c r="B5" s="4">
        <f>MAINT_NORM!B5</f>
        <v/>
      </c>
      <c r="C5">
        <f>MAINT_NORM!I5</f>
        <v/>
      </c>
      <c r="D5">
        <f>MAINT_NORM!H5</f>
        <v/>
      </c>
      <c r="E5">
        <f>MAINT_NORM!G5</f>
        <v/>
      </c>
    </row>
    <row r="6">
      <c r="A6">
        <f>MAINT_NORM!E6</f>
        <v/>
      </c>
      <c r="B6" s="4">
        <f>MAINT_NORM!B6</f>
        <v/>
      </c>
      <c r="C6">
        <f>MAINT_NORM!I6</f>
        <v/>
      </c>
      <c r="D6">
        <f>MAINT_NORM!H6</f>
        <v/>
      </c>
      <c r="E6">
        <f>MAINT_NORM!G6</f>
        <v/>
      </c>
    </row>
    <row r="7">
      <c r="A7">
        <f>MAINT_NORM!E7</f>
        <v/>
      </c>
      <c r="B7" s="4">
        <f>MAINT_NORM!B7</f>
        <v/>
      </c>
      <c r="C7">
        <f>MAINT_NORM!I7</f>
        <v/>
      </c>
      <c r="D7">
        <f>MAINT_NORM!H7</f>
        <v/>
      </c>
      <c r="E7">
        <f>MAINT_NORM!G7</f>
        <v/>
      </c>
    </row>
    <row r="8">
      <c r="A8">
        <f>MAINT_NORM!E8</f>
        <v/>
      </c>
      <c r="B8" s="4">
        <f>MAINT_NORM!B8</f>
        <v/>
      </c>
      <c r="C8">
        <f>MAINT_NORM!I8</f>
        <v/>
      </c>
      <c r="D8">
        <f>MAINT_NORM!H8</f>
        <v/>
      </c>
      <c r="E8">
        <f>MAINT_NORM!G8</f>
        <v/>
      </c>
    </row>
    <row r="9">
      <c r="A9">
        <f>MAINT_NORM!E9</f>
        <v/>
      </c>
      <c r="B9" s="4">
        <f>MAINT_NORM!B9</f>
        <v/>
      </c>
      <c r="C9">
        <f>MAINT_NORM!I9</f>
        <v/>
      </c>
      <c r="D9">
        <f>MAINT_NORM!H9</f>
        <v/>
      </c>
      <c r="E9">
        <f>MAINT_NORM!G9</f>
        <v/>
      </c>
    </row>
    <row r="10">
      <c r="A10">
        <f>MAINT_NORM!E10</f>
        <v/>
      </c>
      <c r="B10" s="4">
        <f>MAINT_NORM!B10</f>
        <v/>
      </c>
      <c r="C10">
        <f>MAINT_NORM!I10</f>
        <v/>
      </c>
      <c r="D10">
        <f>MAINT_NORM!H10</f>
        <v/>
      </c>
      <c r="E10">
        <f>MAINT_NORM!G10</f>
        <v/>
      </c>
    </row>
    <row r="11">
      <c r="A11">
        <f>MAINT_NORM!E11</f>
        <v/>
      </c>
      <c r="B11" s="4">
        <f>MAINT_NORM!B11</f>
        <v/>
      </c>
      <c r="C11">
        <f>MAINT_NORM!I11</f>
        <v/>
      </c>
      <c r="D11">
        <f>MAINT_NORM!H11</f>
        <v/>
      </c>
      <c r="E11">
        <f>MAINT_NORM!G11</f>
        <v/>
      </c>
    </row>
    <row r="12">
      <c r="A12">
        <f>MAINT_NORM!E12</f>
        <v/>
      </c>
      <c r="B12" s="4">
        <f>MAINT_NORM!B12</f>
        <v/>
      </c>
      <c r="C12">
        <f>MAINT_NORM!I12</f>
        <v/>
      </c>
      <c r="D12">
        <f>MAINT_NORM!H12</f>
        <v/>
      </c>
      <c r="E12">
        <f>MAINT_NORM!G12</f>
        <v/>
      </c>
    </row>
    <row r="13">
      <c r="A13">
        <f>MAINT_NORM!E13</f>
        <v/>
      </c>
      <c r="B13" s="4">
        <f>MAINT_NORM!B13</f>
        <v/>
      </c>
      <c r="C13">
        <f>MAINT_NORM!I13</f>
        <v/>
      </c>
      <c r="D13">
        <f>MAINT_NORM!H13</f>
        <v/>
      </c>
      <c r="E13">
        <f>MAINT_NORM!G13</f>
        <v/>
      </c>
    </row>
    <row r="14">
      <c r="A14">
        <f>MAINT_NORM!E14</f>
        <v/>
      </c>
      <c r="B14" s="4">
        <f>MAINT_NORM!B14</f>
        <v/>
      </c>
      <c r="C14">
        <f>MAINT_NORM!I14</f>
        <v/>
      </c>
      <c r="D14">
        <f>MAINT_NORM!H14</f>
        <v/>
      </c>
      <c r="E14">
        <f>MAINT_NORM!G14</f>
        <v/>
      </c>
    </row>
    <row r="15">
      <c r="A15">
        <f>MAINT_NORM!E15</f>
        <v/>
      </c>
      <c r="B15" s="4">
        <f>MAINT_NORM!B15</f>
        <v/>
      </c>
      <c r="C15">
        <f>MAINT_NORM!I15</f>
        <v/>
      </c>
      <c r="D15">
        <f>MAINT_NORM!H15</f>
        <v/>
      </c>
      <c r="E15">
        <f>MAINT_NORM!G15</f>
        <v/>
      </c>
    </row>
    <row r="16">
      <c r="A16">
        <f>MAINT_NORM!E16</f>
        <v/>
      </c>
      <c r="B16" s="4">
        <f>MAINT_NORM!B16</f>
        <v/>
      </c>
      <c r="C16">
        <f>MAINT_NORM!I16</f>
        <v/>
      </c>
      <c r="D16">
        <f>MAINT_NORM!H16</f>
        <v/>
      </c>
      <c r="E16">
        <f>MAINT_NORM!G16</f>
        <v/>
      </c>
    </row>
    <row r="17">
      <c r="A17">
        <f>MAINT_NORM!E17</f>
        <v/>
      </c>
      <c r="B17" s="4">
        <f>MAINT_NORM!B17</f>
        <v/>
      </c>
      <c r="C17">
        <f>MAINT_NORM!I17</f>
        <v/>
      </c>
      <c r="D17">
        <f>MAINT_NORM!H17</f>
        <v/>
      </c>
      <c r="E17">
        <f>MAINT_NORM!G17</f>
        <v/>
      </c>
    </row>
    <row r="18">
      <c r="A18">
        <f>MAINT_NORM!E18</f>
        <v/>
      </c>
      <c r="B18" s="4">
        <f>MAINT_NORM!B18</f>
        <v/>
      </c>
      <c r="C18">
        <f>MAINT_NORM!I18</f>
        <v/>
      </c>
      <c r="D18">
        <f>MAINT_NORM!H18</f>
        <v/>
      </c>
      <c r="E18">
        <f>MAINT_NORM!G18</f>
        <v/>
      </c>
    </row>
    <row r="19">
      <c r="A19">
        <f>MAINT_NORM!E19</f>
        <v/>
      </c>
      <c r="B19" s="4">
        <f>MAINT_NORM!B19</f>
        <v/>
      </c>
      <c r="C19">
        <f>MAINT_NORM!I19</f>
        <v/>
      </c>
      <c r="D19">
        <f>MAINT_NORM!H19</f>
        <v/>
      </c>
      <c r="E19">
        <f>MAINT_NORM!G19</f>
        <v/>
      </c>
    </row>
    <row r="20">
      <c r="A20">
        <f>MAINT_NORM!E20</f>
        <v/>
      </c>
      <c r="B20" s="4">
        <f>MAINT_NORM!B20</f>
        <v/>
      </c>
      <c r="C20">
        <f>MAINT_NORM!I20</f>
        <v/>
      </c>
      <c r="D20">
        <f>MAINT_NORM!H20</f>
        <v/>
      </c>
      <c r="E20">
        <f>MAINT_NORM!G20</f>
        <v/>
      </c>
    </row>
    <row r="21">
      <c r="A21">
        <f>MAINT_NORM!E21</f>
        <v/>
      </c>
      <c r="B21" s="4">
        <f>MAINT_NORM!B21</f>
        <v/>
      </c>
      <c r="C21">
        <f>MAINT_NORM!I21</f>
        <v/>
      </c>
      <c r="D21">
        <f>MAINT_NORM!H21</f>
        <v/>
      </c>
      <c r="E21">
        <f>MAINT_NORM!G21</f>
        <v/>
      </c>
    </row>
    <row r="22">
      <c r="A22">
        <f>MAINT_NORM!E22</f>
        <v/>
      </c>
      <c r="B22" s="4">
        <f>MAINT_NORM!B22</f>
        <v/>
      </c>
      <c r="C22">
        <f>MAINT_NORM!I22</f>
        <v/>
      </c>
      <c r="D22">
        <f>MAINT_NORM!H22</f>
        <v/>
      </c>
      <c r="E22">
        <f>MAINT_NORM!G22</f>
        <v/>
      </c>
    </row>
    <row r="23">
      <c r="A23">
        <f>MAINT_NORM!E23</f>
        <v/>
      </c>
      <c r="B23" s="4">
        <f>MAINT_NORM!B23</f>
        <v/>
      </c>
      <c r="C23">
        <f>MAINT_NORM!I23</f>
        <v/>
      </c>
      <c r="D23">
        <f>MAINT_NORM!H23</f>
        <v/>
      </c>
      <c r="E23">
        <f>MAINT_NORM!G23</f>
        <v/>
      </c>
    </row>
    <row r="24">
      <c r="A24">
        <f>MAINT_NORM!E24</f>
        <v/>
      </c>
      <c r="B24" s="4">
        <f>MAINT_NORM!B24</f>
        <v/>
      </c>
      <c r="C24">
        <f>MAINT_NORM!I24</f>
        <v/>
      </c>
      <c r="D24">
        <f>MAINT_NORM!H24</f>
        <v/>
      </c>
      <c r="E24">
        <f>MAINT_NORM!G24</f>
        <v/>
      </c>
    </row>
    <row r="25">
      <c r="A25">
        <f>MAINT_NORM!E25</f>
        <v/>
      </c>
      <c r="B25" s="4">
        <f>MAINT_NORM!B25</f>
        <v/>
      </c>
      <c r="C25">
        <f>MAINT_NORM!I25</f>
        <v/>
      </c>
      <c r="D25">
        <f>MAINT_NORM!H25</f>
        <v/>
      </c>
      <c r="E25">
        <f>MAINT_NORM!G25</f>
        <v/>
      </c>
    </row>
    <row r="26">
      <c r="A26">
        <f>MAINT_NORM!E26</f>
        <v/>
      </c>
      <c r="B26" s="4">
        <f>MAINT_NORM!B26</f>
        <v/>
      </c>
      <c r="C26">
        <f>MAINT_NORM!I26</f>
        <v/>
      </c>
      <c r="D26">
        <f>MAINT_NORM!H26</f>
        <v/>
      </c>
      <c r="E26">
        <f>MAINT_NORM!G26</f>
        <v/>
      </c>
    </row>
    <row r="27">
      <c r="A27">
        <f>MAINT_NORM!E27</f>
        <v/>
      </c>
      <c r="B27" s="4">
        <f>MAINT_NORM!B27</f>
        <v/>
      </c>
      <c r="C27">
        <f>MAINT_NORM!I27</f>
        <v/>
      </c>
      <c r="D27">
        <f>MAINT_NORM!H27</f>
        <v/>
      </c>
      <c r="E27">
        <f>MAINT_NORM!G27</f>
        <v/>
      </c>
    </row>
    <row r="28">
      <c r="A28">
        <f>MAINT_NORM!E28</f>
        <v/>
      </c>
      <c r="B28" s="4">
        <f>MAINT_NORM!B28</f>
        <v/>
      </c>
      <c r="C28">
        <f>MAINT_NORM!I28</f>
        <v/>
      </c>
      <c r="D28">
        <f>MAINT_NORM!H28</f>
        <v/>
      </c>
      <c r="E28">
        <f>MAINT_NORM!G28</f>
        <v/>
      </c>
    </row>
    <row r="29">
      <c r="A29">
        <f>MAINT_NORM!E29</f>
        <v/>
      </c>
      <c r="B29" s="4">
        <f>MAINT_NORM!B29</f>
        <v/>
      </c>
      <c r="C29">
        <f>MAINT_NORM!I29</f>
        <v/>
      </c>
      <c r="D29">
        <f>MAINT_NORM!H29</f>
        <v/>
      </c>
      <c r="E29">
        <f>MAINT_NORM!G29</f>
        <v/>
      </c>
    </row>
    <row r="30">
      <c r="A30">
        <f>MAINT_NORM!E30</f>
        <v/>
      </c>
      <c r="B30" s="4">
        <f>MAINT_NORM!B30</f>
        <v/>
      </c>
      <c r="C30">
        <f>MAINT_NORM!I30</f>
        <v/>
      </c>
      <c r="D30">
        <f>MAINT_NORM!H30</f>
        <v/>
      </c>
      <c r="E30">
        <f>MAINT_NORM!G30</f>
        <v/>
      </c>
    </row>
    <row r="31">
      <c r="A31">
        <f>MAINT_NORM!E31</f>
        <v/>
      </c>
      <c r="B31" s="4">
        <f>MAINT_NORM!B31</f>
        <v/>
      </c>
      <c r="C31">
        <f>MAINT_NORM!I31</f>
        <v/>
      </c>
      <c r="D31">
        <f>MAINT_NORM!H31</f>
        <v/>
      </c>
      <c r="E31">
        <f>MAINT_NORM!G31</f>
        <v/>
      </c>
    </row>
    <row r="32">
      <c r="A32">
        <f>MAINT_NORM!E32</f>
        <v/>
      </c>
      <c r="B32" s="4">
        <f>MAINT_NORM!B32</f>
        <v/>
      </c>
      <c r="C32">
        <f>MAINT_NORM!I32</f>
        <v/>
      </c>
      <c r="D32">
        <f>MAINT_NORM!H32</f>
        <v/>
      </c>
      <c r="E32">
        <f>MAINT_NORM!G32</f>
        <v/>
      </c>
    </row>
    <row r="33">
      <c r="A33">
        <f>MAINT_NORM!E33</f>
        <v/>
      </c>
      <c r="B33" s="4">
        <f>MAINT_NORM!B33</f>
        <v/>
      </c>
      <c r="C33">
        <f>MAINT_NORM!I33</f>
        <v/>
      </c>
      <c r="D33">
        <f>MAINT_NORM!H33</f>
        <v/>
      </c>
      <c r="E33">
        <f>MAINT_NORM!G33</f>
        <v/>
      </c>
    </row>
    <row r="34">
      <c r="A34">
        <f>MAINT_NORM!E34</f>
        <v/>
      </c>
      <c r="B34" s="4">
        <f>MAINT_NORM!B34</f>
        <v/>
      </c>
      <c r="C34">
        <f>MAINT_NORM!I34</f>
        <v/>
      </c>
      <c r="D34">
        <f>MAINT_NORM!H34</f>
        <v/>
      </c>
      <c r="E34">
        <f>MAINT_NORM!G34</f>
        <v/>
      </c>
    </row>
    <row r="35">
      <c r="A35">
        <f>MAINT_NORM!E35</f>
        <v/>
      </c>
      <c r="B35" s="4">
        <f>MAINT_NORM!B35</f>
        <v/>
      </c>
      <c r="C35">
        <f>MAINT_NORM!I35</f>
        <v/>
      </c>
      <c r="D35">
        <f>MAINT_NORM!H35</f>
        <v/>
      </c>
      <c r="E35">
        <f>MAINT_NORM!G35</f>
        <v/>
      </c>
    </row>
    <row r="36">
      <c r="A36">
        <f>MAINT_NORM!E36</f>
        <v/>
      </c>
      <c r="B36" s="4">
        <f>MAINT_NORM!B36</f>
        <v/>
      </c>
      <c r="C36">
        <f>MAINT_NORM!I36</f>
        <v/>
      </c>
      <c r="D36">
        <f>MAINT_NORM!H36</f>
        <v/>
      </c>
      <c r="E36">
        <f>MAINT_NORM!G36</f>
        <v/>
      </c>
    </row>
    <row r="37">
      <c r="A37">
        <f>MAINT_NORM!E37</f>
        <v/>
      </c>
      <c r="B37" s="4">
        <f>MAINT_NORM!B37</f>
        <v/>
      </c>
      <c r="C37">
        <f>MAINT_NORM!I37</f>
        <v/>
      </c>
      <c r="D37">
        <f>MAINT_NORM!H37</f>
        <v/>
      </c>
      <c r="E37">
        <f>MAINT_NORM!G37</f>
        <v/>
      </c>
    </row>
    <row r="38">
      <c r="A38">
        <f>MAINT_NORM!E38</f>
        <v/>
      </c>
      <c r="B38" s="4">
        <f>MAINT_NORM!B38</f>
        <v/>
      </c>
      <c r="C38">
        <f>MAINT_NORM!I38</f>
        <v/>
      </c>
      <c r="D38">
        <f>MAINT_NORM!H38</f>
        <v/>
      </c>
      <c r="E38">
        <f>MAINT_NORM!G38</f>
        <v/>
      </c>
    </row>
    <row r="39">
      <c r="A39">
        <f>MAINT_NORM!E39</f>
        <v/>
      </c>
      <c r="B39" s="4">
        <f>MAINT_NORM!B39</f>
        <v/>
      </c>
      <c r="C39">
        <f>MAINT_NORM!I39</f>
        <v/>
      </c>
      <c r="D39">
        <f>MAINT_NORM!H39</f>
        <v/>
      </c>
      <c r="E39">
        <f>MAINT_NORM!G39</f>
        <v/>
      </c>
    </row>
    <row r="40">
      <c r="A40">
        <f>MAINT_NORM!E40</f>
        <v/>
      </c>
      <c r="B40" s="4">
        <f>MAINT_NORM!B40</f>
        <v/>
      </c>
      <c r="C40">
        <f>MAINT_NORM!I40</f>
        <v/>
      </c>
      <c r="D40">
        <f>MAINT_NORM!H40</f>
        <v/>
      </c>
      <c r="E40">
        <f>MAINT_NORM!G40</f>
        <v/>
      </c>
    </row>
    <row r="41">
      <c r="A41">
        <f>MAINT_NORM!E41</f>
        <v/>
      </c>
      <c r="B41" s="4">
        <f>MAINT_NORM!B41</f>
        <v/>
      </c>
      <c r="C41">
        <f>MAINT_NORM!I41</f>
        <v/>
      </c>
      <c r="D41">
        <f>MAINT_NORM!H41</f>
        <v/>
      </c>
      <c r="E41">
        <f>MAINT_NORM!G41</f>
        <v/>
      </c>
    </row>
    <row r="42">
      <c r="A42">
        <f>MAINT_NORM!E42</f>
        <v/>
      </c>
      <c r="B42" s="4">
        <f>MAINT_NORM!B42</f>
        <v/>
      </c>
      <c r="C42">
        <f>MAINT_NORM!I42</f>
        <v/>
      </c>
      <c r="D42">
        <f>MAINT_NORM!H42</f>
        <v/>
      </c>
      <c r="E42">
        <f>MAINT_NORM!G42</f>
        <v/>
      </c>
    </row>
    <row r="43">
      <c r="A43">
        <f>MAINT_NORM!E43</f>
        <v/>
      </c>
      <c r="B43" s="4">
        <f>MAINT_NORM!B43</f>
        <v/>
      </c>
      <c r="C43">
        <f>MAINT_NORM!I43</f>
        <v/>
      </c>
      <c r="D43">
        <f>MAINT_NORM!H43</f>
        <v/>
      </c>
      <c r="E43">
        <f>MAINT_NORM!G43</f>
        <v/>
      </c>
    </row>
    <row r="44">
      <c r="A44">
        <f>MAINT_NORM!E44</f>
        <v/>
      </c>
      <c r="B44" s="4">
        <f>MAINT_NORM!B44</f>
        <v/>
      </c>
      <c r="C44">
        <f>MAINT_NORM!I44</f>
        <v/>
      </c>
      <c r="D44">
        <f>MAINT_NORM!H44</f>
        <v/>
      </c>
      <c r="E44">
        <f>MAINT_NORM!G44</f>
        <v/>
      </c>
    </row>
    <row r="45">
      <c r="A45">
        <f>MAINT_NORM!E45</f>
        <v/>
      </c>
      <c r="B45" s="4">
        <f>MAINT_NORM!B45</f>
        <v/>
      </c>
      <c r="C45">
        <f>MAINT_NORM!I45</f>
        <v/>
      </c>
      <c r="D45">
        <f>MAINT_NORM!H45</f>
        <v/>
      </c>
      <c r="E45">
        <f>MAINT_NORM!G45</f>
        <v/>
      </c>
    </row>
    <row r="46">
      <c r="A46">
        <f>MAINT_NORM!E46</f>
        <v/>
      </c>
      <c r="B46" s="4">
        <f>MAINT_NORM!B46</f>
        <v/>
      </c>
      <c r="C46">
        <f>MAINT_NORM!I46</f>
        <v/>
      </c>
      <c r="D46">
        <f>MAINT_NORM!H46</f>
        <v/>
      </c>
      <c r="E46">
        <f>MAINT_NORM!G46</f>
        <v/>
      </c>
    </row>
    <row r="47">
      <c r="A47">
        <f>MAINT_NORM!E47</f>
        <v/>
      </c>
      <c r="B47" s="4">
        <f>MAINT_NORM!B47</f>
        <v/>
      </c>
      <c r="C47">
        <f>MAINT_NORM!I47</f>
        <v/>
      </c>
      <c r="D47">
        <f>MAINT_NORM!H47</f>
        <v/>
      </c>
      <c r="E47">
        <f>MAINT_NORM!G47</f>
        <v/>
      </c>
    </row>
    <row r="48">
      <c r="A48">
        <f>MAINT_NORM!E48</f>
        <v/>
      </c>
      <c r="B48" s="4">
        <f>MAINT_NORM!B48</f>
        <v/>
      </c>
      <c r="C48">
        <f>MAINT_NORM!I48</f>
        <v/>
      </c>
      <c r="D48">
        <f>MAINT_NORM!H48</f>
        <v/>
      </c>
      <c r="E48">
        <f>MAINT_NORM!G48</f>
        <v/>
      </c>
    </row>
    <row r="49">
      <c r="A49">
        <f>MAINT_NORM!E49</f>
        <v/>
      </c>
      <c r="B49" s="4">
        <f>MAINT_NORM!B49</f>
        <v/>
      </c>
      <c r="C49">
        <f>MAINT_NORM!I49</f>
        <v/>
      </c>
      <c r="D49">
        <f>MAINT_NORM!H49</f>
        <v/>
      </c>
      <c r="E49">
        <f>MAINT_NORM!G49</f>
        <v/>
      </c>
    </row>
    <row r="50">
      <c r="A50">
        <f>MAINT_NORM!E50</f>
        <v/>
      </c>
      <c r="B50" s="4">
        <f>MAINT_NORM!B50</f>
        <v/>
      </c>
      <c r="C50">
        <f>MAINT_NORM!I50</f>
        <v/>
      </c>
      <c r="D50">
        <f>MAINT_NORM!H50</f>
        <v/>
      </c>
      <c r="E50">
        <f>MAINT_NORM!G50</f>
        <v/>
      </c>
    </row>
    <row r="51">
      <c r="A51">
        <f>MAINT_NORM!E51</f>
        <v/>
      </c>
      <c r="B51" s="4">
        <f>MAINT_NORM!B51</f>
        <v/>
      </c>
      <c r="C51">
        <f>MAINT_NORM!I51</f>
        <v/>
      </c>
      <c r="D51">
        <f>MAINT_NORM!H51</f>
        <v/>
      </c>
      <c r="E51">
        <f>MAINT_NORM!G51</f>
        <v/>
      </c>
    </row>
    <row r="52">
      <c r="A52">
        <f>MAINT_NORM!E52</f>
        <v/>
      </c>
      <c r="B52" s="4">
        <f>MAINT_NORM!B52</f>
        <v/>
      </c>
      <c r="C52">
        <f>MAINT_NORM!I52</f>
        <v/>
      </c>
      <c r="D52">
        <f>MAINT_NORM!H52</f>
        <v/>
      </c>
      <c r="E52">
        <f>MAINT_NORM!G52</f>
        <v/>
      </c>
    </row>
    <row r="53">
      <c r="A53">
        <f>MAINT_NORM!E53</f>
        <v/>
      </c>
      <c r="B53" s="4">
        <f>MAINT_NORM!B53</f>
        <v/>
      </c>
      <c r="C53">
        <f>MAINT_NORM!I53</f>
        <v/>
      </c>
      <c r="D53">
        <f>MAINT_NORM!H53</f>
        <v/>
      </c>
      <c r="E53">
        <f>MAINT_NORM!G53</f>
        <v/>
      </c>
    </row>
    <row r="54">
      <c r="A54">
        <f>MAINT_NORM!E54</f>
        <v/>
      </c>
      <c r="B54" s="4">
        <f>MAINT_NORM!B54</f>
        <v/>
      </c>
      <c r="C54">
        <f>MAINT_NORM!I54</f>
        <v/>
      </c>
      <c r="D54">
        <f>MAINT_NORM!H54</f>
        <v/>
      </c>
      <c r="E54">
        <f>MAINT_NORM!G54</f>
        <v/>
      </c>
    </row>
    <row r="55">
      <c r="A55">
        <f>MAINT_NORM!E55</f>
        <v/>
      </c>
      <c r="B55" s="4">
        <f>MAINT_NORM!B55</f>
        <v/>
      </c>
      <c r="C55">
        <f>MAINT_NORM!I55</f>
        <v/>
      </c>
      <c r="D55">
        <f>MAINT_NORM!H55</f>
        <v/>
      </c>
      <c r="E55">
        <f>MAINT_NORM!G55</f>
        <v/>
      </c>
    </row>
    <row r="56">
      <c r="A56">
        <f>MAINT_NORM!E56</f>
        <v/>
      </c>
      <c r="B56" s="4">
        <f>MAINT_NORM!B56</f>
        <v/>
      </c>
      <c r="C56">
        <f>MAINT_NORM!I56</f>
        <v/>
      </c>
      <c r="D56">
        <f>MAINT_NORM!H56</f>
        <v/>
      </c>
      <c r="E56">
        <f>MAINT_NORM!G56</f>
        <v/>
      </c>
    </row>
    <row r="57">
      <c r="A57">
        <f>MAINT_NORM!E57</f>
        <v/>
      </c>
      <c r="B57" s="4">
        <f>MAINT_NORM!B57</f>
        <v/>
      </c>
      <c r="C57">
        <f>MAINT_NORM!I57</f>
        <v/>
      </c>
      <c r="D57">
        <f>MAINT_NORM!H57</f>
        <v/>
      </c>
      <c r="E57">
        <f>MAINT_NORM!G57</f>
        <v/>
      </c>
    </row>
    <row r="58">
      <c r="A58">
        <f>MAINT_NORM!E58</f>
        <v/>
      </c>
      <c r="B58" s="4">
        <f>MAINT_NORM!B58</f>
        <v/>
      </c>
      <c r="C58">
        <f>MAINT_NORM!I58</f>
        <v/>
      </c>
      <c r="D58">
        <f>MAINT_NORM!H58</f>
        <v/>
      </c>
      <c r="E58">
        <f>MAINT_NORM!G58</f>
        <v/>
      </c>
    </row>
    <row r="59">
      <c r="A59">
        <f>MAINT_NORM!E59</f>
        <v/>
      </c>
      <c r="B59" s="4">
        <f>MAINT_NORM!B59</f>
        <v/>
      </c>
      <c r="C59">
        <f>MAINT_NORM!I59</f>
        <v/>
      </c>
      <c r="D59">
        <f>MAINT_NORM!H59</f>
        <v/>
      </c>
      <c r="E59">
        <f>MAINT_NORM!G59</f>
        <v/>
      </c>
    </row>
    <row r="60">
      <c r="A60">
        <f>MAINT_NORM!E60</f>
        <v/>
      </c>
      <c r="B60" s="4">
        <f>MAINT_NORM!B60</f>
        <v/>
      </c>
      <c r="C60">
        <f>MAINT_NORM!I60</f>
        <v/>
      </c>
      <c r="D60">
        <f>MAINT_NORM!H60</f>
        <v/>
      </c>
      <c r="E60">
        <f>MAINT_NORM!G60</f>
        <v/>
      </c>
    </row>
    <row r="61">
      <c r="A61">
        <f>MAINT_NORM!E61</f>
        <v/>
      </c>
      <c r="B61" s="4">
        <f>MAINT_NORM!B61</f>
        <v/>
      </c>
      <c r="C61">
        <f>MAINT_NORM!I61</f>
        <v/>
      </c>
      <c r="D61">
        <f>MAINT_NORM!H61</f>
        <v/>
      </c>
      <c r="E61">
        <f>MAINT_NORM!G61</f>
        <v/>
      </c>
    </row>
    <row r="62">
      <c r="A62">
        <f>MAINT_NORM!E62</f>
        <v/>
      </c>
      <c r="B62" s="4">
        <f>MAINT_NORM!B62</f>
        <v/>
      </c>
      <c r="C62">
        <f>MAINT_NORM!I62</f>
        <v/>
      </c>
      <c r="D62">
        <f>MAINT_NORM!H62</f>
        <v/>
      </c>
      <c r="E62">
        <f>MAINT_NORM!G62</f>
        <v/>
      </c>
    </row>
    <row r="63">
      <c r="A63">
        <f>MAINT_NORM!E63</f>
        <v/>
      </c>
      <c r="B63" s="4">
        <f>MAINT_NORM!B63</f>
        <v/>
      </c>
      <c r="C63">
        <f>MAINT_NORM!I63</f>
        <v/>
      </c>
      <c r="D63">
        <f>MAINT_NORM!H63</f>
        <v/>
      </c>
      <c r="E63">
        <f>MAINT_NORM!G63</f>
        <v/>
      </c>
    </row>
    <row r="64">
      <c r="A64">
        <f>MAINT_NORM!E64</f>
        <v/>
      </c>
      <c r="B64" s="4">
        <f>MAINT_NORM!B64</f>
        <v/>
      </c>
      <c r="C64">
        <f>MAINT_NORM!I64</f>
        <v/>
      </c>
      <c r="D64">
        <f>MAINT_NORM!H64</f>
        <v/>
      </c>
      <c r="E64">
        <f>MAINT_NORM!G64</f>
        <v/>
      </c>
    </row>
    <row r="65">
      <c r="A65">
        <f>MAINT_NORM!E65</f>
        <v/>
      </c>
      <c r="B65" s="4">
        <f>MAINT_NORM!B65</f>
        <v/>
      </c>
      <c r="C65">
        <f>MAINT_NORM!I65</f>
        <v/>
      </c>
      <c r="D65">
        <f>MAINT_NORM!H65</f>
        <v/>
      </c>
      <c r="E65">
        <f>MAINT_NORM!G65</f>
        <v/>
      </c>
    </row>
    <row r="66">
      <c r="A66">
        <f>MAINT_NORM!E66</f>
        <v/>
      </c>
      <c r="B66" s="4">
        <f>MAINT_NORM!B66</f>
        <v/>
      </c>
      <c r="C66">
        <f>MAINT_NORM!I66</f>
        <v/>
      </c>
      <c r="D66">
        <f>MAINT_NORM!H66</f>
        <v/>
      </c>
      <c r="E66">
        <f>MAINT_NORM!G66</f>
        <v/>
      </c>
    </row>
    <row r="67">
      <c r="A67">
        <f>MAINT_NORM!E67</f>
        <v/>
      </c>
      <c r="B67" s="4">
        <f>MAINT_NORM!B67</f>
        <v/>
      </c>
      <c r="C67">
        <f>MAINT_NORM!I67</f>
        <v/>
      </c>
      <c r="D67">
        <f>MAINT_NORM!H67</f>
        <v/>
      </c>
      <c r="E67">
        <f>MAINT_NORM!G67</f>
        <v/>
      </c>
    </row>
    <row r="68">
      <c r="A68">
        <f>MAINT_NORM!E68</f>
        <v/>
      </c>
      <c r="B68" s="4">
        <f>MAINT_NORM!B68</f>
        <v/>
      </c>
      <c r="C68">
        <f>MAINT_NORM!I68</f>
        <v/>
      </c>
      <c r="D68">
        <f>MAINT_NORM!H68</f>
        <v/>
      </c>
      <c r="E68">
        <f>MAINT_NORM!G68</f>
        <v/>
      </c>
    </row>
    <row r="69">
      <c r="A69">
        <f>MAINT_NORM!E69</f>
        <v/>
      </c>
      <c r="B69" s="4">
        <f>MAINT_NORM!B69</f>
        <v/>
      </c>
      <c r="C69">
        <f>MAINT_NORM!I69</f>
        <v/>
      </c>
      <c r="D69">
        <f>MAINT_NORM!H69</f>
        <v/>
      </c>
      <c r="E69">
        <f>MAINT_NORM!G69</f>
        <v/>
      </c>
    </row>
    <row r="70">
      <c r="A70">
        <f>MAINT_NORM!E70</f>
        <v/>
      </c>
      <c r="B70" s="4">
        <f>MAINT_NORM!B70</f>
        <v/>
      </c>
      <c r="C70">
        <f>MAINT_NORM!I70</f>
        <v/>
      </c>
      <c r="D70">
        <f>MAINT_NORM!H70</f>
        <v/>
      </c>
      <c r="E70">
        <f>MAINT_NORM!G70</f>
        <v/>
      </c>
    </row>
    <row r="71">
      <c r="A71">
        <f>MAINT_NORM!E71</f>
        <v/>
      </c>
      <c r="B71" s="4">
        <f>MAINT_NORM!B71</f>
        <v/>
      </c>
      <c r="C71">
        <f>MAINT_NORM!I71</f>
        <v/>
      </c>
      <c r="D71">
        <f>MAINT_NORM!H71</f>
        <v/>
      </c>
      <c r="E71">
        <f>MAINT_NORM!G71</f>
        <v/>
      </c>
    </row>
    <row r="72">
      <c r="A72">
        <f>MAINT_NORM!E72</f>
        <v/>
      </c>
      <c r="B72" s="4">
        <f>MAINT_NORM!B72</f>
        <v/>
      </c>
      <c r="C72">
        <f>MAINT_NORM!I72</f>
        <v/>
      </c>
      <c r="D72">
        <f>MAINT_NORM!H72</f>
        <v/>
      </c>
      <c r="E72">
        <f>MAINT_NORM!G72</f>
        <v/>
      </c>
    </row>
    <row r="73">
      <c r="A73">
        <f>MAINT_NORM!E73</f>
        <v/>
      </c>
      <c r="B73" s="4">
        <f>MAINT_NORM!B73</f>
        <v/>
      </c>
      <c r="C73">
        <f>MAINT_NORM!I73</f>
        <v/>
      </c>
      <c r="D73">
        <f>MAINT_NORM!H73</f>
        <v/>
      </c>
      <c r="E73">
        <f>MAINT_NORM!G73</f>
        <v/>
      </c>
    </row>
    <row r="74">
      <c r="A74">
        <f>MAINT_NORM!E74</f>
        <v/>
      </c>
      <c r="B74" s="4">
        <f>MAINT_NORM!B74</f>
        <v/>
      </c>
      <c r="C74">
        <f>MAINT_NORM!I74</f>
        <v/>
      </c>
      <c r="D74">
        <f>MAINT_NORM!H74</f>
        <v/>
      </c>
      <c r="E74">
        <f>MAINT_NORM!G74</f>
        <v/>
      </c>
    </row>
    <row r="75">
      <c r="A75">
        <f>MAINT_NORM!E75</f>
        <v/>
      </c>
      <c r="B75" s="4">
        <f>MAINT_NORM!B75</f>
        <v/>
      </c>
      <c r="C75">
        <f>MAINT_NORM!I75</f>
        <v/>
      </c>
      <c r="D75">
        <f>MAINT_NORM!H75</f>
        <v/>
      </c>
      <c r="E75">
        <f>MAINT_NORM!G75</f>
        <v/>
      </c>
    </row>
    <row r="76">
      <c r="A76">
        <f>MAINT_NORM!E76</f>
        <v/>
      </c>
      <c r="B76" s="4">
        <f>MAINT_NORM!B76</f>
        <v/>
      </c>
      <c r="C76">
        <f>MAINT_NORM!I76</f>
        <v/>
      </c>
      <c r="D76">
        <f>MAINT_NORM!H76</f>
        <v/>
      </c>
      <c r="E76">
        <f>MAINT_NORM!G76</f>
        <v/>
      </c>
    </row>
    <row r="77">
      <c r="A77">
        <f>MAINT_NORM!E77</f>
        <v/>
      </c>
      <c r="B77" s="4">
        <f>MAINT_NORM!B77</f>
        <v/>
      </c>
      <c r="C77">
        <f>MAINT_NORM!I77</f>
        <v/>
      </c>
      <c r="D77">
        <f>MAINT_NORM!H77</f>
        <v/>
      </c>
      <c r="E77">
        <f>MAINT_NORM!G77</f>
        <v/>
      </c>
    </row>
    <row r="78">
      <c r="A78">
        <f>MAINT_NORM!E78</f>
        <v/>
      </c>
      <c r="B78" s="4">
        <f>MAINT_NORM!B78</f>
        <v/>
      </c>
      <c r="C78">
        <f>MAINT_NORM!I78</f>
        <v/>
      </c>
      <c r="D78">
        <f>MAINT_NORM!H78</f>
        <v/>
      </c>
      <c r="E78">
        <f>MAINT_NORM!G78</f>
        <v/>
      </c>
    </row>
    <row r="79">
      <c r="A79">
        <f>MAINT_NORM!E79</f>
        <v/>
      </c>
      <c r="B79" s="4">
        <f>MAINT_NORM!B79</f>
        <v/>
      </c>
      <c r="C79">
        <f>MAINT_NORM!I79</f>
        <v/>
      </c>
      <c r="D79">
        <f>MAINT_NORM!H79</f>
        <v/>
      </c>
      <c r="E79">
        <f>MAINT_NORM!G79</f>
        <v/>
      </c>
    </row>
    <row r="80">
      <c r="A80">
        <f>MAINT_NORM!E80</f>
        <v/>
      </c>
      <c r="B80" s="4">
        <f>MAINT_NORM!B80</f>
        <v/>
      </c>
      <c r="C80">
        <f>MAINT_NORM!I80</f>
        <v/>
      </c>
      <c r="D80">
        <f>MAINT_NORM!H80</f>
        <v/>
      </c>
      <c r="E80">
        <f>MAINT_NORM!G80</f>
        <v/>
      </c>
    </row>
    <row r="81">
      <c r="A81">
        <f>MAINT_NORM!E81</f>
        <v/>
      </c>
      <c r="B81" s="4">
        <f>MAINT_NORM!B81</f>
        <v/>
      </c>
      <c r="C81">
        <f>MAINT_NORM!I81</f>
        <v/>
      </c>
      <c r="D81">
        <f>MAINT_NORM!H81</f>
        <v/>
      </c>
      <c r="E81">
        <f>MAINT_NORM!G81</f>
        <v/>
      </c>
    </row>
    <row r="82">
      <c r="A82">
        <f>MAINT_NORM!E82</f>
        <v/>
      </c>
      <c r="B82" s="4">
        <f>MAINT_NORM!B82</f>
        <v/>
      </c>
      <c r="C82">
        <f>MAINT_NORM!I82</f>
        <v/>
      </c>
      <c r="D82">
        <f>MAINT_NORM!H82</f>
        <v/>
      </c>
      <c r="E82">
        <f>MAINT_NORM!G82</f>
        <v/>
      </c>
    </row>
    <row r="83">
      <c r="A83">
        <f>MAINT_NORM!E83</f>
        <v/>
      </c>
      <c r="B83" s="4">
        <f>MAINT_NORM!B83</f>
        <v/>
      </c>
      <c r="C83">
        <f>MAINT_NORM!I83</f>
        <v/>
      </c>
      <c r="D83">
        <f>MAINT_NORM!H83</f>
        <v/>
      </c>
      <c r="E83">
        <f>MAINT_NORM!G83</f>
        <v/>
      </c>
    </row>
    <row r="84">
      <c r="A84">
        <f>MAINT_NORM!E84</f>
        <v/>
      </c>
      <c r="B84" s="4">
        <f>MAINT_NORM!B84</f>
        <v/>
      </c>
      <c r="C84">
        <f>MAINT_NORM!I84</f>
        <v/>
      </c>
      <c r="D84">
        <f>MAINT_NORM!H84</f>
        <v/>
      </c>
      <c r="E84">
        <f>MAINT_NORM!G84</f>
        <v/>
      </c>
    </row>
    <row r="85">
      <c r="A85">
        <f>MAINT_NORM!E85</f>
        <v/>
      </c>
      <c r="B85" s="4">
        <f>MAINT_NORM!B85</f>
        <v/>
      </c>
      <c r="C85">
        <f>MAINT_NORM!I85</f>
        <v/>
      </c>
      <c r="D85">
        <f>MAINT_NORM!H85</f>
        <v/>
      </c>
      <c r="E85">
        <f>MAINT_NORM!G85</f>
        <v/>
      </c>
    </row>
    <row r="86">
      <c r="A86">
        <f>MAINT_NORM!E86</f>
        <v/>
      </c>
      <c r="B86" s="4">
        <f>MAINT_NORM!B86</f>
        <v/>
      </c>
      <c r="C86">
        <f>MAINT_NORM!I86</f>
        <v/>
      </c>
      <c r="D86">
        <f>MAINT_NORM!H86</f>
        <v/>
      </c>
      <c r="E86">
        <f>MAINT_NORM!G86</f>
        <v/>
      </c>
    </row>
    <row r="87">
      <c r="A87">
        <f>MAINT_NORM!E87</f>
        <v/>
      </c>
      <c r="B87" s="4">
        <f>MAINT_NORM!B87</f>
        <v/>
      </c>
      <c r="C87">
        <f>MAINT_NORM!I87</f>
        <v/>
      </c>
      <c r="D87">
        <f>MAINT_NORM!H87</f>
        <v/>
      </c>
      <c r="E87">
        <f>MAINT_NORM!G87</f>
        <v/>
      </c>
    </row>
    <row r="88">
      <c r="A88">
        <f>MAINT_NORM!E88</f>
        <v/>
      </c>
      <c r="B88" s="4">
        <f>MAINT_NORM!B88</f>
        <v/>
      </c>
      <c r="C88">
        <f>MAINT_NORM!I88</f>
        <v/>
      </c>
      <c r="D88">
        <f>MAINT_NORM!H88</f>
        <v/>
      </c>
      <c r="E88">
        <f>MAINT_NORM!G88</f>
        <v/>
      </c>
    </row>
    <row r="89">
      <c r="A89">
        <f>MAINT_NORM!E89</f>
        <v/>
      </c>
      <c r="B89" s="4">
        <f>MAINT_NORM!B89</f>
        <v/>
      </c>
      <c r="C89">
        <f>MAINT_NORM!I89</f>
        <v/>
      </c>
      <c r="D89">
        <f>MAINT_NORM!H89</f>
        <v/>
      </c>
      <c r="E89">
        <f>MAINT_NORM!G89</f>
        <v/>
      </c>
    </row>
    <row r="90">
      <c r="A90">
        <f>MAINT_NORM!E90</f>
        <v/>
      </c>
      <c r="B90" s="4">
        <f>MAINT_NORM!B90</f>
        <v/>
      </c>
      <c r="C90">
        <f>MAINT_NORM!I90</f>
        <v/>
      </c>
      <c r="D90">
        <f>MAINT_NORM!H90</f>
        <v/>
      </c>
      <c r="E90">
        <f>MAINT_NORM!G90</f>
        <v/>
      </c>
    </row>
    <row r="91">
      <c r="A91">
        <f>MAINT_NORM!E91</f>
        <v/>
      </c>
      <c r="B91" s="4">
        <f>MAINT_NORM!B91</f>
        <v/>
      </c>
      <c r="C91">
        <f>MAINT_NORM!I91</f>
        <v/>
      </c>
      <c r="D91">
        <f>MAINT_NORM!H91</f>
        <v/>
      </c>
      <c r="E91">
        <f>MAINT_NORM!G91</f>
        <v/>
      </c>
    </row>
    <row r="92">
      <c r="A92">
        <f>MAINT_NORM!E92</f>
        <v/>
      </c>
      <c r="B92" s="4">
        <f>MAINT_NORM!B92</f>
        <v/>
      </c>
      <c r="C92">
        <f>MAINT_NORM!I92</f>
        <v/>
      </c>
      <c r="D92">
        <f>MAINT_NORM!H92</f>
        <v/>
      </c>
      <c r="E92">
        <f>MAINT_NORM!G92</f>
        <v/>
      </c>
    </row>
    <row r="93">
      <c r="A93">
        <f>MAINT_NORM!E93</f>
        <v/>
      </c>
      <c r="B93" s="4">
        <f>MAINT_NORM!B93</f>
        <v/>
      </c>
      <c r="C93">
        <f>MAINT_NORM!I93</f>
        <v/>
      </c>
      <c r="D93">
        <f>MAINT_NORM!H93</f>
        <v/>
      </c>
      <c r="E93">
        <f>MAINT_NORM!G93</f>
        <v/>
      </c>
    </row>
    <row r="94">
      <c r="A94">
        <f>MAINT_NORM!E94</f>
        <v/>
      </c>
      <c r="B94" s="4">
        <f>MAINT_NORM!B94</f>
        <v/>
      </c>
      <c r="C94">
        <f>MAINT_NORM!I94</f>
        <v/>
      </c>
      <c r="D94">
        <f>MAINT_NORM!H94</f>
        <v/>
      </c>
      <c r="E94">
        <f>MAINT_NORM!G94</f>
        <v/>
      </c>
    </row>
    <row r="95">
      <c r="A95">
        <f>MAINT_NORM!E95</f>
        <v/>
      </c>
      <c r="B95" s="4">
        <f>MAINT_NORM!B95</f>
        <v/>
      </c>
      <c r="C95">
        <f>MAINT_NORM!I95</f>
        <v/>
      </c>
      <c r="D95">
        <f>MAINT_NORM!H95</f>
        <v/>
      </c>
      <c r="E95">
        <f>MAINT_NORM!G95</f>
        <v/>
      </c>
    </row>
    <row r="96">
      <c r="A96">
        <f>MAINT_NORM!E96</f>
        <v/>
      </c>
      <c r="B96" s="4">
        <f>MAINT_NORM!B96</f>
        <v/>
      </c>
      <c r="C96">
        <f>MAINT_NORM!I96</f>
        <v/>
      </c>
      <c r="D96">
        <f>MAINT_NORM!H96</f>
        <v/>
      </c>
      <c r="E96">
        <f>MAINT_NORM!G96</f>
        <v/>
      </c>
    </row>
    <row r="97">
      <c r="A97">
        <f>MAINT_NORM!E97</f>
        <v/>
      </c>
      <c r="B97" s="4">
        <f>MAINT_NORM!B97</f>
        <v/>
      </c>
      <c r="C97">
        <f>MAINT_NORM!I97</f>
        <v/>
      </c>
      <c r="D97">
        <f>MAINT_NORM!H97</f>
        <v/>
      </c>
      <c r="E97">
        <f>MAINT_NORM!G97</f>
        <v/>
      </c>
    </row>
    <row r="98">
      <c r="A98">
        <f>MAINT_NORM!E98</f>
        <v/>
      </c>
      <c r="B98" s="4">
        <f>MAINT_NORM!B98</f>
        <v/>
      </c>
      <c r="C98">
        <f>MAINT_NORM!I98</f>
        <v/>
      </c>
      <c r="D98">
        <f>MAINT_NORM!H98</f>
        <v/>
      </c>
      <c r="E98">
        <f>MAINT_NORM!G98</f>
        <v/>
      </c>
    </row>
    <row r="99">
      <c r="A99">
        <f>MAINT_NORM!E99</f>
        <v/>
      </c>
      <c r="B99" s="4">
        <f>MAINT_NORM!B99</f>
        <v/>
      </c>
      <c r="C99">
        <f>MAINT_NORM!I99</f>
        <v/>
      </c>
      <c r="D99">
        <f>MAINT_NORM!H99</f>
        <v/>
      </c>
      <c r="E99">
        <f>MAINT_NORM!G99</f>
        <v/>
      </c>
    </row>
    <row r="100">
      <c r="A100">
        <f>MAINT_NORM!E100</f>
        <v/>
      </c>
      <c r="B100" s="4">
        <f>MAINT_NORM!B100</f>
        <v/>
      </c>
      <c r="C100">
        <f>MAINT_NORM!I100</f>
        <v/>
      </c>
      <c r="D100">
        <f>MAINT_NORM!H100</f>
        <v/>
      </c>
      <c r="E100">
        <f>MAINT_NORM!G100</f>
        <v/>
      </c>
    </row>
    <row r="101">
      <c r="A101">
        <f>MAINT_NORM!E101</f>
        <v/>
      </c>
      <c r="B101" s="4">
        <f>MAINT_NORM!B101</f>
        <v/>
      </c>
      <c r="C101">
        <f>MAINT_NORM!I101</f>
        <v/>
      </c>
      <c r="D101">
        <f>MAINT_NORM!H101</f>
        <v/>
      </c>
      <c r="E101">
        <f>MAINT_NORM!G101</f>
        <v/>
      </c>
    </row>
  </sheetData>
  <autoFilter ref="A1:E10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2" t="inlineStr">
        <is>
          <t>ExternalId</t>
        </is>
      </c>
      <c r="B1" s="2" t="inlineStr">
        <is>
          <t>UserAccountId</t>
        </is>
      </c>
    </row>
    <row r="2">
      <c r="A2">
        <f>USERS_NORM!A2</f>
        <v/>
      </c>
    </row>
    <row r="3">
      <c r="A3">
        <f>USERS_NORM!A3</f>
        <v/>
      </c>
    </row>
    <row r="4">
      <c r="A4">
        <f>USERS_NORM!A4</f>
        <v/>
      </c>
    </row>
    <row r="5">
      <c r="A5">
        <f>USERS_NORM!A5</f>
        <v/>
      </c>
    </row>
    <row r="6">
      <c r="A6">
        <f>USERS_NORM!A6</f>
        <v/>
      </c>
    </row>
    <row r="7">
      <c r="A7">
        <f>USERS_NORM!A7</f>
        <v/>
      </c>
    </row>
    <row r="8">
      <c r="A8">
        <f>USERS_NORM!A8</f>
        <v/>
      </c>
    </row>
    <row r="9">
      <c r="A9">
        <f>USERS_NORM!A9</f>
        <v/>
      </c>
    </row>
    <row r="10">
      <c r="A10">
        <f>USERS_NORM!A10</f>
        <v/>
      </c>
    </row>
    <row r="11">
      <c r="A11">
        <f>USERS_NORM!A11</f>
        <v/>
      </c>
    </row>
    <row r="12">
      <c r="A12">
        <f>USERS_NORM!A12</f>
        <v/>
      </c>
    </row>
    <row r="13">
      <c r="A13">
        <f>USERS_NORM!A13</f>
        <v/>
      </c>
    </row>
    <row r="14">
      <c r="A14">
        <f>USERS_NORM!A14</f>
        <v/>
      </c>
    </row>
    <row r="15">
      <c r="A15">
        <f>USERS_NORM!A15</f>
        <v/>
      </c>
    </row>
    <row r="16">
      <c r="A16">
        <f>USERS_NORM!A16</f>
        <v/>
      </c>
    </row>
    <row r="17">
      <c r="A17">
        <f>USERS_NORM!A17</f>
        <v/>
      </c>
    </row>
    <row r="18">
      <c r="A18">
        <f>USERS_NORM!A18</f>
        <v/>
      </c>
    </row>
    <row r="19">
      <c r="A19">
        <f>USERS_NORM!A19</f>
        <v/>
      </c>
    </row>
    <row r="20">
      <c r="A20">
        <f>USERS_NORM!A20</f>
        <v/>
      </c>
    </row>
    <row r="21">
      <c r="A21">
        <f>USERS_NORM!A21</f>
        <v/>
      </c>
    </row>
  </sheetData>
  <autoFilter ref="A1:B2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2" t="inlineStr">
        <is>
          <t>ExternalId</t>
        </is>
      </c>
      <c r="B1" s="2" t="inlineStr">
        <is>
          <t>VendingMachineId</t>
        </is>
      </c>
      <c r="C1" s="2" t="inlineStr">
        <is>
          <t>SerialNumber</t>
        </is>
      </c>
    </row>
    <row r="2">
      <c r="A2">
        <f>VM_NORM!A2</f>
        <v/>
      </c>
      <c r="C2">
        <f>VM_NORM!C2</f>
        <v/>
      </c>
    </row>
    <row r="3">
      <c r="A3">
        <f>VM_NORM!A3</f>
        <v/>
      </c>
      <c r="C3">
        <f>VM_NORM!C3</f>
        <v/>
      </c>
    </row>
    <row r="4">
      <c r="A4">
        <f>VM_NORM!A4</f>
        <v/>
      </c>
      <c r="C4">
        <f>VM_NORM!C4</f>
        <v/>
      </c>
    </row>
    <row r="5">
      <c r="A5">
        <f>VM_NORM!A5</f>
        <v/>
      </c>
      <c r="C5">
        <f>VM_NORM!C5</f>
        <v/>
      </c>
    </row>
    <row r="6">
      <c r="A6">
        <f>VM_NORM!A6</f>
        <v/>
      </c>
      <c r="C6">
        <f>VM_NORM!C6</f>
        <v/>
      </c>
    </row>
    <row r="7">
      <c r="A7">
        <f>VM_NORM!A7</f>
        <v/>
      </c>
      <c r="C7">
        <f>VM_NORM!C7</f>
        <v/>
      </c>
    </row>
    <row r="8">
      <c r="A8">
        <f>VM_NORM!A8</f>
        <v/>
      </c>
      <c r="C8">
        <f>VM_NORM!C8</f>
        <v/>
      </c>
    </row>
    <row r="9">
      <c r="A9">
        <f>VM_NORM!A9</f>
        <v/>
      </c>
      <c r="C9">
        <f>VM_NORM!C9</f>
        <v/>
      </c>
    </row>
    <row r="10">
      <c r="A10">
        <f>VM_NORM!A10</f>
        <v/>
      </c>
      <c r="C10">
        <f>VM_NORM!C10</f>
        <v/>
      </c>
    </row>
    <row r="11">
      <c r="A11">
        <f>VM_NORM!A11</f>
        <v/>
      </c>
      <c r="C11">
        <f>VM_NORM!C11</f>
        <v/>
      </c>
    </row>
  </sheetData>
  <autoFilter ref="A1:C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</cols>
  <sheetData>
    <row r="1">
      <c r="A1" s="2" t="inlineStr">
        <is>
          <t>ExternalProductId</t>
        </is>
      </c>
      <c r="B1" s="2" t="inlineStr">
        <is>
          <t>ProductId</t>
        </is>
      </c>
      <c r="C1" s="2" t="inlineStr">
        <is>
          <t>ProductName</t>
        </is>
      </c>
    </row>
    <row r="2">
      <c r="A2">
        <f>PRODUCTS_NORM!A2</f>
        <v/>
      </c>
      <c r="C2">
        <f>PRODUCTS_NORM!B2</f>
        <v/>
      </c>
    </row>
    <row r="3">
      <c r="A3">
        <f>PRODUCTS_NORM!A3</f>
        <v/>
      </c>
      <c r="C3">
        <f>PRODUCTS_NORM!B3</f>
        <v/>
      </c>
    </row>
    <row r="4">
      <c r="A4">
        <f>PRODUCTS_NORM!A4</f>
        <v/>
      </c>
      <c r="C4">
        <f>PRODUCTS_NORM!B4</f>
        <v/>
      </c>
    </row>
    <row r="5">
      <c r="A5">
        <f>PRODUCTS_NORM!A5</f>
        <v/>
      </c>
      <c r="C5">
        <f>PRODUCTS_NORM!B5</f>
        <v/>
      </c>
    </row>
    <row r="6">
      <c r="A6">
        <f>PRODUCTS_NORM!A6</f>
        <v/>
      </c>
      <c r="C6">
        <f>PRODUCTS_NORM!B6</f>
        <v/>
      </c>
    </row>
    <row r="7">
      <c r="A7">
        <f>PRODUCTS_NORM!A7</f>
        <v/>
      </c>
      <c r="C7">
        <f>PRODUCTS_NORM!B7</f>
        <v/>
      </c>
    </row>
    <row r="8">
      <c r="A8">
        <f>PRODUCTS_NORM!A8</f>
        <v/>
      </c>
      <c r="C8">
        <f>PRODUCTS_NORM!B8</f>
        <v/>
      </c>
    </row>
    <row r="9">
      <c r="A9">
        <f>PRODUCTS_NORM!A9</f>
        <v/>
      </c>
      <c r="C9">
        <f>PRODUCTS_NORM!B9</f>
        <v/>
      </c>
    </row>
    <row r="10">
      <c r="A10">
        <f>PRODUCTS_NORM!A10</f>
        <v/>
      </c>
      <c r="C10">
        <f>PRODUCTS_NORM!B10</f>
        <v/>
      </c>
    </row>
    <row r="11">
      <c r="A11">
        <f>PRODUCTS_NORM!A11</f>
        <v/>
      </c>
      <c r="C11">
        <f>PRODUCTS_NORM!B11</f>
        <v/>
      </c>
    </row>
    <row r="12">
      <c r="A12">
        <f>PRODUCTS_NORM!A12</f>
        <v/>
      </c>
      <c r="C12">
        <f>PRODUCTS_NORM!B12</f>
        <v/>
      </c>
    </row>
    <row r="13">
      <c r="A13">
        <f>PRODUCTS_NORM!A13</f>
        <v/>
      </c>
      <c r="C13">
        <f>PRODUCTS_NORM!B13</f>
        <v/>
      </c>
    </row>
    <row r="14">
      <c r="A14">
        <f>PRODUCTS_NORM!A14</f>
        <v/>
      </c>
      <c r="C14">
        <f>PRODUCTS_NORM!B14</f>
        <v/>
      </c>
    </row>
    <row r="15">
      <c r="A15">
        <f>PRODUCTS_NORM!A15</f>
        <v/>
      </c>
      <c r="C15">
        <f>PRODUCTS_NORM!B15</f>
        <v/>
      </c>
    </row>
    <row r="16">
      <c r="A16">
        <f>PRODUCTS_NORM!A16</f>
        <v/>
      </c>
      <c r="C16">
        <f>PRODUCTS_NORM!B16</f>
        <v/>
      </c>
    </row>
    <row r="17">
      <c r="A17">
        <f>PRODUCTS_NORM!A17</f>
        <v/>
      </c>
      <c r="C17">
        <f>PRODUCTS_NORM!B17</f>
        <v/>
      </c>
    </row>
    <row r="18">
      <c r="A18">
        <f>PRODUCTS_NORM!A18</f>
        <v/>
      </c>
      <c r="C18">
        <f>PRODUCTS_NORM!B18</f>
        <v/>
      </c>
    </row>
    <row r="19">
      <c r="A19">
        <f>PRODUCTS_NORM!A19</f>
        <v/>
      </c>
      <c r="C19">
        <f>PRODUCTS_NORM!B19</f>
        <v/>
      </c>
    </row>
    <row r="20">
      <c r="A20">
        <f>PRODUCTS_NORM!A20</f>
        <v/>
      </c>
      <c r="C20">
        <f>PRODUCTS_NORM!B20</f>
        <v/>
      </c>
    </row>
    <row r="21">
      <c r="A21">
        <f>PRODUCTS_NORM!A21</f>
        <v/>
      </c>
      <c r="C21">
        <f>PRODUCTS_NORM!B21</f>
        <v/>
      </c>
    </row>
    <row r="22">
      <c r="A22">
        <f>PRODUCTS_NORM!A22</f>
        <v/>
      </c>
      <c r="C22">
        <f>PRODUCTS_NORM!B22</f>
        <v/>
      </c>
    </row>
    <row r="23">
      <c r="A23">
        <f>PRODUCTS_NORM!A23</f>
        <v/>
      </c>
      <c r="C23">
        <f>PRODUCTS_NORM!B23</f>
        <v/>
      </c>
    </row>
    <row r="24">
      <c r="A24">
        <f>PRODUCTS_NORM!A24</f>
        <v/>
      </c>
      <c r="C24">
        <f>PRODUCTS_NORM!B24</f>
        <v/>
      </c>
    </row>
    <row r="25">
      <c r="A25">
        <f>PRODUCTS_NORM!A25</f>
        <v/>
      </c>
      <c r="C25">
        <f>PRODUCTS_NORM!B25</f>
        <v/>
      </c>
    </row>
    <row r="26">
      <c r="A26">
        <f>PRODUCTS_NORM!A26</f>
        <v/>
      </c>
      <c r="C26">
        <f>PRODUCTS_NORM!B26</f>
        <v/>
      </c>
    </row>
    <row r="27">
      <c r="A27">
        <f>PRODUCTS_NORM!A27</f>
        <v/>
      </c>
      <c r="C27">
        <f>PRODUCTS_NORM!B27</f>
        <v/>
      </c>
    </row>
    <row r="28">
      <c r="A28">
        <f>PRODUCTS_NORM!A28</f>
        <v/>
      </c>
      <c r="C28">
        <f>PRODUCTS_NORM!B28</f>
        <v/>
      </c>
    </row>
    <row r="29">
      <c r="A29">
        <f>PRODUCTS_NORM!A29</f>
        <v/>
      </c>
      <c r="C29">
        <f>PRODUCTS_NORM!B29</f>
        <v/>
      </c>
    </row>
    <row r="30">
      <c r="A30">
        <f>PRODUCTS_NORM!A30</f>
        <v/>
      </c>
      <c r="C30">
        <f>PRODUCTS_NORM!B30</f>
        <v/>
      </c>
    </row>
    <row r="31">
      <c r="A31">
        <f>PRODUCTS_NORM!A31</f>
        <v/>
      </c>
      <c r="C31">
        <f>PRODUCTS_NORM!B31</f>
        <v/>
      </c>
    </row>
    <row r="32">
      <c r="A32">
        <f>PRODUCTS_NORM!A32</f>
        <v/>
      </c>
      <c r="C32">
        <f>PRODUCTS_NORM!B32</f>
        <v/>
      </c>
    </row>
    <row r="33">
      <c r="A33">
        <f>PRODUCTS_NORM!A33</f>
        <v/>
      </c>
      <c r="C33">
        <f>PRODUCTS_NORM!B33</f>
        <v/>
      </c>
    </row>
    <row r="34">
      <c r="A34">
        <f>PRODUCTS_NORM!A34</f>
        <v/>
      </c>
      <c r="C34">
        <f>PRODUCTS_NORM!B34</f>
        <v/>
      </c>
    </row>
    <row r="35">
      <c r="A35">
        <f>PRODUCTS_NORM!A35</f>
        <v/>
      </c>
      <c r="C35">
        <f>PRODUCTS_NORM!B35</f>
        <v/>
      </c>
    </row>
    <row r="36">
      <c r="A36">
        <f>PRODUCTS_NORM!A36</f>
        <v/>
      </c>
      <c r="C36">
        <f>PRODUCTS_NORM!B36</f>
        <v/>
      </c>
    </row>
    <row r="37">
      <c r="A37">
        <f>PRODUCTS_NORM!A37</f>
        <v/>
      </c>
      <c r="C37">
        <f>PRODUCTS_NORM!B37</f>
        <v/>
      </c>
    </row>
    <row r="38">
      <c r="A38">
        <f>PRODUCTS_NORM!A38</f>
        <v/>
      </c>
      <c r="C38">
        <f>PRODUCTS_NORM!B38</f>
        <v/>
      </c>
    </row>
    <row r="39">
      <c r="A39">
        <f>PRODUCTS_NORM!A39</f>
        <v/>
      </c>
      <c r="C39">
        <f>PRODUCTS_NORM!B39</f>
        <v/>
      </c>
    </row>
    <row r="40">
      <c r="A40">
        <f>PRODUCTS_NORM!A40</f>
        <v/>
      </c>
      <c r="C40">
        <f>PRODUCTS_NORM!B40</f>
        <v/>
      </c>
    </row>
    <row r="41">
      <c r="A41">
        <f>PRODUCTS_NORM!A41</f>
        <v/>
      </c>
      <c r="C41">
        <f>PRODUCTS_NORM!B41</f>
        <v/>
      </c>
    </row>
    <row r="42">
      <c r="A42">
        <f>PRODUCTS_NORM!A42</f>
        <v/>
      </c>
      <c r="C42">
        <f>PRODUCTS_NORM!B42</f>
        <v/>
      </c>
    </row>
    <row r="43">
      <c r="A43">
        <f>PRODUCTS_NORM!A43</f>
        <v/>
      </c>
      <c r="C43">
        <f>PRODUCTS_NORM!B43</f>
        <v/>
      </c>
    </row>
    <row r="44">
      <c r="A44">
        <f>PRODUCTS_NORM!A44</f>
        <v/>
      </c>
      <c r="C44">
        <f>PRODUCTS_NORM!B44</f>
        <v/>
      </c>
    </row>
    <row r="45">
      <c r="A45">
        <f>PRODUCTS_NORM!A45</f>
        <v/>
      </c>
      <c r="C45">
        <f>PRODUCTS_NORM!B45</f>
        <v/>
      </c>
    </row>
    <row r="46">
      <c r="A46">
        <f>PRODUCTS_NORM!A46</f>
        <v/>
      </c>
      <c r="C46">
        <f>PRODUCTS_NORM!B46</f>
        <v/>
      </c>
    </row>
    <row r="47">
      <c r="A47">
        <f>PRODUCTS_NORM!A47</f>
        <v/>
      </c>
      <c r="C47">
        <f>PRODUCTS_NORM!B47</f>
        <v/>
      </c>
    </row>
    <row r="48">
      <c r="A48">
        <f>PRODUCTS_NORM!A48</f>
        <v/>
      </c>
      <c r="C48">
        <f>PRODUCTS_NORM!B48</f>
        <v/>
      </c>
    </row>
    <row r="49">
      <c r="A49">
        <f>PRODUCTS_NORM!A49</f>
        <v/>
      </c>
      <c r="C49">
        <f>PRODUCTS_NORM!B49</f>
        <v/>
      </c>
    </row>
    <row r="50">
      <c r="A50">
        <f>PRODUCTS_NORM!A50</f>
        <v/>
      </c>
      <c r="C50">
        <f>PRODUCTS_NORM!B50</f>
        <v/>
      </c>
    </row>
  </sheetData>
  <autoFilter ref="A1:C5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5" customWidth="1" min="1" max="1"/>
    <col width="80" customWidth="1" min="2" max="2"/>
  </cols>
  <sheetData>
    <row r="1">
      <c r="A1" s="7" t="inlineStr">
        <is>
          <t>Проверка</t>
        </is>
      </c>
      <c r="B1" s="7" t="inlineStr">
        <is>
          <t>Формула</t>
        </is>
      </c>
    </row>
    <row r="2">
      <c r="A2" t="inlineStr">
        <is>
          <t>Пустые UserRoleId (DB_UserAccount)</t>
        </is>
      </c>
      <c r="B2">
        <f>COUNTBLANK(DB_UserAccount!I2:I1048576)</f>
        <v/>
      </c>
    </row>
    <row r="3">
      <c r="A3" t="inlineStr">
        <is>
          <t>Пустые CompanyId (DB_UserAccount, допускается)</t>
        </is>
      </c>
      <c r="B3">
        <f>COUNTBLANK(DB_UserAccount!J2:J1048576)</f>
        <v/>
      </c>
    </row>
    <row r="4">
      <c r="A4" t="inlineStr">
        <is>
          <t>Пустые обязательные ID в DB_VendingMachine</t>
        </is>
      </c>
      <c r="B4">
        <f>COUNTBLANK(DB_VendingMachine!B2:B1048576)+COUNTBLANK(DB_VendingMachine!C2:C1048576)+COUNTBLANK(DB_VendingMachine!D2:D1048576)+COUNTBLANK(DB_VendingMachine!E2:E1048576)+COUNTBLANK(DB_VendingMachine!F2:F1048576)+COUNTBLANK(DB_VendingMachine!G2:G1048576)+COUNTBLANK(DB_VendingMachine!X2:X1048576)</f>
        <v/>
      </c>
    </row>
    <row r="5">
      <c r="A5" t="inlineStr">
        <is>
          <t>Пустые VendingMachineId в DB_VendingMachineProduct</t>
        </is>
      </c>
      <c r="B5">
        <f>COUNTBLANK(DB_VendingMachineProduct!A2:A1048576)</f>
        <v/>
      </c>
    </row>
    <row r="6">
      <c r="A6" t="inlineStr">
        <is>
          <t>Пустые ProductId в DB_VendingMachineProduct</t>
        </is>
      </c>
      <c r="B6">
        <f>COUNTBLANK(DB_VendingMachineProduct!B2:B1048576)</f>
        <v/>
      </c>
    </row>
    <row r="7">
      <c r="A7" t="inlineStr">
        <is>
          <t>Пустые VendingMachineId в DB_Sale</t>
        </is>
      </c>
      <c r="B7">
        <f>COUNTBLANK(DB_Sale!A2:A1048576)</f>
        <v/>
      </c>
    </row>
    <row r="8">
      <c r="A8" t="inlineStr">
        <is>
          <t>Пустые ProductId в DB_Sale</t>
        </is>
      </c>
      <c r="B8">
        <f>COUNTBLANK(DB_Sale!B2:B1048576)</f>
        <v/>
      </c>
    </row>
    <row r="9">
      <c r="A9" t="inlineStr">
        <is>
          <t>Пустые SalePaymentMethodId в DB_Sale</t>
        </is>
      </c>
      <c r="B9">
        <f>COUNTBLANK(DB_Sale!F2:F1048576)</f>
        <v/>
      </c>
    </row>
    <row r="10">
      <c r="A10" t="inlineStr">
        <is>
          <t>Пустые VendingMachineId в DB_Maintenance</t>
        </is>
      </c>
      <c r="B10">
        <f>COUNTBLANK(DB_Maintenance!A2:A1048576)</f>
        <v/>
      </c>
    </row>
    <row r="11">
      <c r="A11" t="inlineStr">
        <is>
          <t>Пустые ExecutorUserAccountId в DB_Maintenance (допускается)</t>
        </is>
      </c>
      <c r="B11">
        <f>COUNTBLANK(DB_Maintenance!E2:E1048576)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2026-02-10T06:03:35Z</dcterms:created>
  <dcterms:modified xsi:type="dcterms:W3CDTF">2026-02-10T07:00:23Z</dcterms:modified>
</cp:coreProperties>
</file>